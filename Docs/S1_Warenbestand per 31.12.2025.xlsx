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tra.vebo.ch\dfs\Daten\Infrastruktur\L2_Beschaffung\L2_Zentrallager\L2_Lagerbewertung\"/>
    </mc:Choice>
  </mc:AlternateContent>
  <xr:revisionPtr revIDLastSave="0" documentId="13_ncr:1_{2DEB2EC9-ADE2-4D92-8157-E7A6C73CEC1B}" xr6:coauthVersionLast="47" xr6:coauthVersionMax="47" xr10:uidLastSave="{00000000-0000-0000-0000-000000000000}"/>
  <bookViews>
    <workbookView xWindow="-120" yWindow="-120" windowWidth="29040" windowHeight="17520" xr2:uid="{6681F4CA-AF24-470D-91F4-297FC6422D15}"/>
  </bookViews>
  <sheets>
    <sheet name="Tabelle1" sheetId="1" r:id="rId1"/>
  </sheets>
  <definedNames>
    <definedName name="_Hlk67042707" localSheetId="0">Tabelle1!$A$319</definedName>
    <definedName name="_Hlk67042721" localSheetId="0">Tabelle1!$A$328</definedName>
    <definedName name="_Toc38891880" localSheetId="0">Tabelle1!$B$3</definedName>
    <definedName name="_Toc38891881" localSheetId="0">Tabelle1!$B$47</definedName>
    <definedName name="_Toc38891882" localSheetId="0">Tabelle1!$B$39</definedName>
    <definedName name="_Toc38891884" localSheetId="0">Tabelle1!$B$47</definedName>
    <definedName name="_Toc38891885" localSheetId="0">Tabelle1!$B$55</definedName>
    <definedName name="_Toc38891886" localSheetId="0">Tabelle1!$B$55</definedName>
    <definedName name="_Toc38891887" localSheetId="0">Tabelle1!$B$61</definedName>
    <definedName name="_Toc38891888" localSheetId="0">Tabelle1!$B$63</definedName>
    <definedName name="_Toc38891890" localSheetId="0">Tabelle1!$B$71</definedName>
    <definedName name="_Toc38891891" localSheetId="0">Tabelle1!$B$95</definedName>
    <definedName name="_Toc38891892" localSheetId="0">Tabelle1!$B$110</definedName>
    <definedName name="_Toc38891893" localSheetId="0">Tabelle1!$B$110</definedName>
    <definedName name="_Toc38891895" localSheetId="0">Tabelle1!$B$145</definedName>
    <definedName name="_Toc38891896" localSheetId="0">Tabelle1!$B$158</definedName>
    <definedName name="_Toc38891897" localSheetId="0">Tabelle1!$B$221</definedName>
    <definedName name="_Toc38891899" localSheetId="0">Tabelle1!$B$227</definedName>
    <definedName name="_Toc38891900" localSheetId="0">Tabelle1!$B$253</definedName>
    <definedName name="_Toc38891901" localSheetId="0">Tabelle1!$B$282</definedName>
    <definedName name="_Toc38891903" localSheetId="0">Tabelle1!$B$298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8" i="1" l="1"/>
  <c r="G247" i="1"/>
  <c r="G257" i="1"/>
  <c r="G34" i="1"/>
  <c r="D108" i="1"/>
  <c r="G108" i="1" s="1"/>
  <c r="D327" i="1"/>
  <c r="G327" i="1" s="1"/>
  <c r="D326" i="1"/>
  <c r="G326" i="1" s="1"/>
  <c r="D325" i="1"/>
  <c r="G325" i="1" s="1"/>
  <c r="D324" i="1"/>
  <c r="G324" i="1" s="1"/>
  <c r="D323" i="1"/>
  <c r="G323" i="1" s="1"/>
  <c r="D322" i="1"/>
  <c r="G322" i="1" s="1"/>
  <c r="D321" i="1"/>
  <c r="G321" i="1" s="1"/>
  <c r="D320" i="1"/>
  <c r="G320" i="1" s="1"/>
  <c r="D319" i="1"/>
  <c r="G319" i="1" s="1"/>
  <c r="D318" i="1"/>
  <c r="G318" i="1" s="1"/>
  <c r="D317" i="1"/>
  <c r="G317" i="1" s="1"/>
  <c r="D316" i="1"/>
  <c r="G316" i="1" s="1"/>
  <c r="D315" i="1"/>
  <c r="G315" i="1" s="1"/>
  <c r="D314" i="1"/>
  <c r="G314" i="1" s="1"/>
  <c r="D313" i="1"/>
  <c r="G313" i="1" s="1"/>
  <c r="D312" i="1"/>
  <c r="G312" i="1" s="1"/>
  <c r="D311" i="1"/>
  <c r="G311" i="1" s="1"/>
  <c r="D310" i="1"/>
  <c r="G310" i="1" s="1"/>
  <c r="D309" i="1"/>
  <c r="G309" i="1" s="1"/>
  <c r="D308" i="1"/>
  <c r="G308" i="1" s="1"/>
  <c r="D307" i="1"/>
  <c r="G307" i="1" s="1"/>
  <c r="D306" i="1"/>
  <c r="G306" i="1" s="1"/>
  <c r="D305" i="1"/>
  <c r="G305" i="1" s="1"/>
  <c r="D304" i="1"/>
  <c r="G304" i="1" s="1"/>
  <c r="D303" i="1"/>
  <c r="G303" i="1" s="1"/>
  <c r="D302" i="1"/>
  <c r="G302" i="1" s="1"/>
  <c r="D301" i="1"/>
  <c r="G301" i="1" s="1"/>
  <c r="D300" i="1"/>
  <c r="G300" i="1" s="1"/>
  <c r="D299" i="1"/>
  <c r="G299" i="1" s="1"/>
  <c r="D298" i="1"/>
  <c r="G298" i="1" s="1"/>
  <c r="D297" i="1"/>
  <c r="G297" i="1" s="1"/>
  <c r="D296" i="1"/>
  <c r="G296" i="1" s="1"/>
  <c r="G70" i="1"/>
  <c r="H162" i="1"/>
  <c r="D295" i="1"/>
  <c r="G295" i="1" s="1"/>
  <c r="D294" i="1"/>
  <c r="G294" i="1" s="1"/>
  <c r="D293" i="1"/>
  <c r="G293" i="1" s="1"/>
  <c r="D292" i="1"/>
  <c r="G292" i="1" s="1"/>
  <c r="D291" i="1"/>
  <c r="G291" i="1" s="1"/>
  <c r="D290" i="1"/>
  <c r="G290" i="1" s="1"/>
  <c r="D289" i="1"/>
  <c r="G289" i="1" s="1"/>
  <c r="D288" i="1"/>
  <c r="G288" i="1" s="1"/>
  <c r="D287" i="1"/>
  <c r="G287" i="1" s="1"/>
  <c r="D286" i="1"/>
  <c r="G286" i="1" s="1"/>
  <c r="D285" i="1"/>
  <c r="G285" i="1" s="1"/>
  <c r="D284" i="1"/>
  <c r="G284" i="1" s="1"/>
  <c r="D283" i="1"/>
  <c r="G283" i="1" s="1"/>
  <c r="D282" i="1"/>
  <c r="G282" i="1" s="1"/>
  <c r="D281" i="1"/>
  <c r="G281" i="1" s="1"/>
  <c r="D280" i="1"/>
  <c r="G280" i="1" s="1"/>
  <c r="D279" i="1"/>
  <c r="G279" i="1" s="1"/>
  <c r="D278" i="1"/>
  <c r="G278" i="1" s="1"/>
  <c r="D277" i="1"/>
  <c r="G277" i="1" s="1"/>
  <c r="D276" i="1"/>
  <c r="G276" i="1" s="1"/>
  <c r="D275" i="1"/>
  <c r="G275" i="1" s="1"/>
  <c r="D274" i="1"/>
  <c r="G274" i="1" s="1"/>
  <c r="D273" i="1"/>
  <c r="G273" i="1" s="1"/>
  <c r="D272" i="1"/>
  <c r="G272" i="1" s="1"/>
  <c r="D271" i="1"/>
  <c r="G271" i="1" s="1"/>
  <c r="D270" i="1"/>
  <c r="G270" i="1" s="1"/>
  <c r="D269" i="1"/>
  <c r="G269" i="1" s="1"/>
  <c r="D268" i="1"/>
  <c r="G268" i="1" s="1"/>
  <c r="D267" i="1"/>
  <c r="G267" i="1" s="1"/>
  <c r="D266" i="1"/>
  <c r="G266" i="1" s="1"/>
  <c r="D265" i="1"/>
  <c r="G265" i="1" s="1"/>
  <c r="D264" i="1"/>
  <c r="G264" i="1" s="1"/>
  <c r="D263" i="1"/>
  <c r="G263" i="1" s="1"/>
  <c r="D262" i="1"/>
  <c r="G262" i="1" s="1"/>
  <c r="D261" i="1"/>
  <c r="G261" i="1" s="1"/>
  <c r="D260" i="1"/>
  <c r="G260" i="1" s="1"/>
  <c r="D259" i="1"/>
  <c r="G259" i="1" s="1"/>
  <c r="D258" i="1"/>
  <c r="G258" i="1" s="1"/>
  <c r="D256" i="1"/>
  <c r="G256" i="1" s="1"/>
  <c r="D255" i="1"/>
  <c r="G255" i="1" s="1"/>
  <c r="D254" i="1"/>
  <c r="G254" i="1" s="1"/>
  <c r="D252" i="1"/>
  <c r="G252" i="1" s="1"/>
  <c r="G251" i="1"/>
  <c r="D250" i="1"/>
  <c r="G250" i="1" s="1"/>
  <c r="D246" i="1"/>
  <c r="G246" i="1" s="1"/>
  <c r="D245" i="1"/>
  <c r="G245" i="1" s="1"/>
  <c r="D244" i="1"/>
  <c r="G244" i="1" s="1"/>
  <c r="D243" i="1"/>
  <c r="G243" i="1" s="1"/>
  <c r="D242" i="1"/>
  <c r="G242" i="1" s="1"/>
  <c r="D241" i="1"/>
  <c r="G241" i="1" s="1"/>
  <c r="D240" i="1"/>
  <c r="G240" i="1" s="1"/>
  <c r="D239" i="1"/>
  <c r="G239" i="1" s="1"/>
  <c r="D238" i="1"/>
  <c r="G238" i="1" s="1"/>
  <c r="D237" i="1"/>
  <c r="G237" i="1" s="1"/>
  <c r="D236" i="1"/>
  <c r="G236" i="1" s="1"/>
  <c r="D235" i="1"/>
  <c r="G235" i="1" s="1"/>
  <c r="D234" i="1"/>
  <c r="G234" i="1" s="1"/>
  <c r="D233" i="1"/>
  <c r="G233" i="1" s="1"/>
  <c r="D232" i="1"/>
  <c r="G232" i="1" s="1"/>
  <c r="D231" i="1"/>
  <c r="G231" i="1" s="1"/>
  <c r="D230" i="1"/>
  <c r="G230" i="1" s="1"/>
  <c r="D229" i="1"/>
  <c r="G229" i="1" s="1"/>
  <c r="D228" i="1"/>
  <c r="G228" i="1" s="1"/>
  <c r="D226" i="1"/>
  <c r="G226" i="1" s="1"/>
  <c r="D225" i="1"/>
  <c r="G225" i="1" s="1"/>
  <c r="D224" i="1"/>
  <c r="G224" i="1" s="1"/>
  <c r="D223" i="1"/>
  <c r="G223" i="1" s="1"/>
  <c r="D222" i="1"/>
  <c r="G222" i="1" s="1"/>
  <c r="D220" i="1"/>
  <c r="G220" i="1" s="1"/>
  <c r="D219" i="1"/>
  <c r="G219" i="1" s="1"/>
  <c r="D218" i="1"/>
  <c r="G218" i="1" s="1"/>
  <c r="D217" i="1"/>
  <c r="G217" i="1" s="1"/>
  <c r="D216" i="1"/>
  <c r="G216" i="1" s="1"/>
  <c r="D215" i="1"/>
  <c r="G215" i="1" s="1"/>
  <c r="D214" i="1"/>
  <c r="G214" i="1" s="1"/>
  <c r="D213" i="1"/>
  <c r="G213" i="1" s="1"/>
  <c r="D212" i="1"/>
  <c r="G212" i="1" s="1"/>
  <c r="D211" i="1"/>
  <c r="G211" i="1" s="1"/>
  <c r="D210" i="1"/>
  <c r="G210" i="1" s="1"/>
  <c r="D209" i="1"/>
  <c r="G209" i="1" s="1"/>
  <c r="D208" i="1"/>
  <c r="G208" i="1" s="1"/>
  <c r="D207" i="1"/>
  <c r="G207" i="1" s="1"/>
  <c r="D206" i="1"/>
  <c r="G206" i="1" s="1"/>
  <c r="D205" i="1"/>
  <c r="G205" i="1" s="1"/>
  <c r="D204" i="1"/>
  <c r="G204" i="1" s="1"/>
  <c r="D203" i="1"/>
  <c r="G203" i="1" s="1"/>
  <c r="D202" i="1"/>
  <c r="G202" i="1" s="1"/>
  <c r="D201" i="1"/>
  <c r="G201" i="1" s="1"/>
  <c r="D200" i="1"/>
  <c r="G200" i="1" s="1"/>
  <c r="D199" i="1"/>
  <c r="G199" i="1" s="1"/>
  <c r="D198" i="1"/>
  <c r="G198" i="1" s="1"/>
  <c r="D197" i="1"/>
  <c r="G197" i="1" s="1"/>
  <c r="D196" i="1"/>
  <c r="G196" i="1" s="1"/>
  <c r="D195" i="1"/>
  <c r="G195" i="1" s="1"/>
  <c r="D194" i="1"/>
  <c r="G194" i="1" s="1"/>
  <c r="D193" i="1"/>
  <c r="G193" i="1" s="1"/>
  <c r="D192" i="1"/>
  <c r="G192" i="1" s="1"/>
  <c r="D191" i="1"/>
  <c r="G191" i="1" s="1"/>
  <c r="D190" i="1"/>
  <c r="G190" i="1" s="1"/>
  <c r="D189" i="1"/>
  <c r="G189" i="1" s="1"/>
  <c r="D188" i="1"/>
  <c r="G188" i="1" s="1"/>
  <c r="D187" i="1"/>
  <c r="G187" i="1" s="1"/>
  <c r="D186" i="1"/>
  <c r="G186" i="1" s="1"/>
  <c r="D185" i="1"/>
  <c r="G185" i="1" s="1"/>
  <c r="D184" i="1"/>
  <c r="G184" i="1" s="1"/>
  <c r="D183" i="1"/>
  <c r="G183" i="1" s="1"/>
  <c r="D182" i="1"/>
  <c r="G182" i="1" s="1"/>
  <c r="D181" i="1"/>
  <c r="G181" i="1" s="1"/>
  <c r="D180" i="1"/>
  <c r="G180" i="1" s="1"/>
  <c r="D179" i="1"/>
  <c r="G179" i="1" s="1"/>
  <c r="D178" i="1"/>
  <c r="G178" i="1" s="1"/>
  <c r="D177" i="1"/>
  <c r="G177" i="1" s="1"/>
  <c r="D174" i="1"/>
  <c r="G174" i="1" s="1"/>
  <c r="D173" i="1"/>
  <c r="G173" i="1" s="1"/>
  <c r="D172" i="1"/>
  <c r="G172" i="1" s="1"/>
  <c r="D171" i="1"/>
  <c r="G171" i="1" s="1"/>
  <c r="D170" i="1"/>
  <c r="G170" i="1" s="1"/>
  <c r="D169" i="1"/>
  <c r="G169" i="1" s="1"/>
  <c r="D168" i="1"/>
  <c r="G168" i="1" s="1"/>
  <c r="D167" i="1"/>
  <c r="G167" i="1" s="1"/>
  <c r="D166" i="1"/>
  <c r="G166" i="1" s="1"/>
  <c r="D165" i="1"/>
  <c r="G165" i="1" s="1"/>
  <c r="D164" i="1"/>
  <c r="G164" i="1" s="1"/>
  <c r="D163" i="1"/>
  <c r="G163" i="1" s="1"/>
  <c r="D162" i="1"/>
  <c r="G162" i="1" s="1"/>
  <c r="D161" i="1"/>
  <c r="G161" i="1" s="1"/>
  <c r="D160" i="1"/>
  <c r="G160" i="1" s="1"/>
  <c r="D159" i="1"/>
  <c r="G159" i="1" s="1"/>
  <c r="D157" i="1"/>
  <c r="G157" i="1" s="1"/>
  <c r="D156" i="1"/>
  <c r="G156" i="1" s="1"/>
  <c r="D155" i="1"/>
  <c r="G155" i="1" s="1"/>
  <c r="D154" i="1"/>
  <c r="G154" i="1" s="1"/>
  <c r="D153" i="1"/>
  <c r="G153" i="1" s="1"/>
  <c r="D152" i="1"/>
  <c r="G152" i="1" s="1"/>
  <c r="D151" i="1"/>
  <c r="G151" i="1" s="1"/>
  <c r="D150" i="1"/>
  <c r="G150" i="1" s="1"/>
  <c r="D149" i="1"/>
  <c r="G149" i="1" s="1"/>
  <c r="D148" i="1"/>
  <c r="G148" i="1" s="1"/>
  <c r="D147" i="1"/>
  <c r="G147" i="1" s="1"/>
  <c r="D146" i="1"/>
  <c r="G146" i="1" s="1"/>
  <c r="D144" i="1"/>
  <c r="G144" i="1" s="1"/>
  <c r="D143" i="1"/>
  <c r="G143" i="1" s="1"/>
  <c r="D142" i="1"/>
  <c r="G142" i="1" s="1"/>
  <c r="D141" i="1"/>
  <c r="G141" i="1" s="1"/>
  <c r="D140" i="1"/>
  <c r="G140" i="1" s="1"/>
  <c r="D139" i="1"/>
  <c r="G139" i="1" s="1"/>
  <c r="D138" i="1"/>
  <c r="G138" i="1" s="1"/>
  <c r="D137" i="1"/>
  <c r="G137" i="1" s="1"/>
  <c r="D136" i="1"/>
  <c r="G136" i="1" s="1"/>
  <c r="D135" i="1"/>
  <c r="G135" i="1" s="1"/>
  <c r="D134" i="1"/>
  <c r="G134" i="1" s="1"/>
  <c r="D133" i="1"/>
  <c r="G133" i="1" s="1"/>
  <c r="D132" i="1"/>
  <c r="G132" i="1" s="1"/>
  <c r="D131" i="1"/>
  <c r="G131" i="1" s="1"/>
  <c r="D130" i="1"/>
  <c r="G130" i="1" s="1"/>
  <c r="D129" i="1"/>
  <c r="G129" i="1" s="1"/>
  <c r="D128" i="1"/>
  <c r="G128" i="1" s="1"/>
  <c r="D127" i="1"/>
  <c r="G127" i="1" s="1"/>
  <c r="D126" i="1"/>
  <c r="G126" i="1" s="1"/>
  <c r="D125" i="1"/>
  <c r="G125" i="1" s="1"/>
  <c r="D124" i="1"/>
  <c r="G124" i="1" s="1"/>
  <c r="D123" i="1"/>
  <c r="G123" i="1" s="1"/>
  <c r="D122" i="1"/>
  <c r="G122" i="1" s="1"/>
  <c r="D121" i="1"/>
  <c r="G121" i="1" s="1"/>
  <c r="D120" i="1"/>
  <c r="G120" i="1" s="1"/>
  <c r="D119" i="1"/>
  <c r="G119" i="1" s="1"/>
  <c r="D118" i="1"/>
  <c r="G118" i="1" s="1"/>
  <c r="D117" i="1"/>
  <c r="G117" i="1" s="1"/>
  <c r="D116" i="1"/>
  <c r="G116" i="1" s="1"/>
  <c r="D115" i="1"/>
  <c r="G115" i="1" s="1"/>
  <c r="D114" i="1"/>
  <c r="G114" i="1" s="1"/>
  <c r="D113" i="1"/>
  <c r="G113" i="1" s="1"/>
  <c r="D112" i="1"/>
  <c r="G112" i="1" s="1"/>
  <c r="D111" i="1"/>
  <c r="G111" i="1" s="1"/>
  <c r="D109" i="1"/>
  <c r="G109" i="1" s="1"/>
  <c r="D107" i="1"/>
  <c r="G107" i="1" s="1"/>
  <c r="D106" i="1"/>
  <c r="G106" i="1" s="1"/>
  <c r="D105" i="1"/>
  <c r="G105" i="1" s="1"/>
  <c r="D104" i="1"/>
  <c r="G104" i="1" s="1"/>
  <c r="D103" i="1"/>
  <c r="G103" i="1" s="1"/>
  <c r="D102" i="1"/>
  <c r="G102" i="1" s="1"/>
  <c r="D101" i="1"/>
  <c r="G101" i="1" s="1"/>
  <c r="D100" i="1"/>
  <c r="G100" i="1" s="1"/>
  <c r="D99" i="1"/>
  <c r="G99" i="1" s="1"/>
  <c r="D98" i="1"/>
  <c r="G98" i="1" s="1"/>
  <c r="D97" i="1"/>
  <c r="G97" i="1" s="1"/>
  <c r="D96" i="1"/>
  <c r="G96" i="1" s="1"/>
  <c r="D95" i="1"/>
  <c r="D94" i="1"/>
  <c r="G94" i="1" s="1"/>
  <c r="D93" i="1"/>
  <c r="G93" i="1" s="1"/>
  <c r="D92" i="1"/>
  <c r="G92" i="1" s="1"/>
  <c r="D91" i="1"/>
  <c r="G91" i="1" s="1"/>
  <c r="D90" i="1"/>
  <c r="G90" i="1" s="1"/>
  <c r="D89" i="1"/>
  <c r="G89" i="1" s="1"/>
  <c r="D88" i="1"/>
  <c r="G88" i="1" s="1"/>
  <c r="D87" i="1"/>
  <c r="D86" i="1"/>
  <c r="G86" i="1" s="1"/>
  <c r="D85" i="1"/>
  <c r="G85" i="1" s="1"/>
  <c r="D84" i="1"/>
  <c r="G84" i="1" s="1"/>
  <c r="D83" i="1"/>
  <c r="G83" i="1" s="1"/>
  <c r="D82" i="1"/>
  <c r="G82" i="1" s="1"/>
  <c r="D81" i="1"/>
  <c r="G81" i="1" s="1"/>
  <c r="D80" i="1"/>
  <c r="G80" i="1" s="1"/>
  <c r="D79" i="1"/>
  <c r="G79" i="1" s="1"/>
  <c r="D78" i="1"/>
  <c r="G78" i="1" s="1"/>
  <c r="D77" i="1"/>
  <c r="G77" i="1" s="1"/>
  <c r="D76" i="1"/>
  <c r="G76" i="1" s="1"/>
  <c r="D75" i="1"/>
  <c r="G75" i="1" s="1"/>
  <c r="D74" i="1"/>
  <c r="G74" i="1" s="1"/>
  <c r="D73" i="1"/>
  <c r="G73" i="1" s="1"/>
  <c r="D72" i="1"/>
  <c r="G72" i="1" s="1"/>
  <c r="D69" i="1"/>
  <c r="G69" i="1" s="1"/>
  <c r="D68" i="1"/>
  <c r="G68" i="1" s="1"/>
  <c r="D67" i="1"/>
  <c r="G67" i="1" s="1"/>
  <c r="D66" i="1"/>
  <c r="G66" i="1" s="1"/>
  <c r="D65" i="1"/>
  <c r="G65" i="1" s="1"/>
  <c r="D64" i="1"/>
  <c r="G64" i="1" s="1"/>
  <c r="D62" i="1"/>
  <c r="G62" i="1" s="1"/>
  <c r="D60" i="1"/>
  <c r="G60" i="1" s="1"/>
  <c r="D59" i="1"/>
  <c r="G59" i="1" s="1"/>
  <c r="D58" i="1"/>
  <c r="G58" i="1" s="1"/>
  <c r="D57" i="1"/>
  <c r="G57" i="1" s="1"/>
  <c r="D56" i="1"/>
  <c r="G56" i="1" s="1"/>
  <c r="D54" i="1"/>
  <c r="G54" i="1" s="1"/>
  <c r="D53" i="1"/>
  <c r="G53" i="1" s="1"/>
  <c r="D52" i="1"/>
  <c r="G52" i="1" s="1"/>
  <c r="D51" i="1"/>
  <c r="G51" i="1" s="1"/>
  <c r="D50" i="1"/>
  <c r="G50" i="1" s="1"/>
  <c r="D49" i="1"/>
  <c r="G49" i="1" s="1"/>
  <c r="D48" i="1"/>
  <c r="G48" i="1" s="1"/>
  <c r="D46" i="1"/>
  <c r="G46" i="1" s="1"/>
  <c r="D45" i="1"/>
  <c r="G45" i="1" s="1"/>
  <c r="D44" i="1"/>
  <c r="G44" i="1" s="1"/>
  <c r="D43" i="1"/>
  <c r="G43" i="1" s="1"/>
  <c r="D42" i="1"/>
  <c r="G42" i="1" s="1"/>
  <c r="D40" i="1"/>
  <c r="G40" i="1" s="1"/>
  <c r="D38" i="1"/>
  <c r="G38" i="1" s="1"/>
  <c r="D37" i="1"/>
  <c r="G37" i="1" s="1"/>
  <c r="D36" i="1"/>
  <c r="G36" i="1" s="1"/>
  <c r="D35" i="1"/>
  <c r="G35" i="1" s="1"/>
  <c r="D33" i="1"/>
  <c r="G33" i="1" s="1"/>
  <c r="D32" i="1"/>
  <c r="G32" i="1" s="1"/>
  <c r="D31" i="1"/>
  <c r="G31" i="1" s="1"/>
  <c r="D30" i="1"/>
  <c r="G30" i="1" s="1"/>
  <c r="D29" i="1"/>
  <c r="G29" i="1" s="1"/>
  <c r="D28" i="1"/>
  <c r="G28" i="1" s="1"/>
  <c r="D27" i="1"/>
  <c r="G27" i="1" s="1"/>
  <c r="D26" i="1"/>
  <c r="G26" i="1" s="1"/>
  <c r="D25" i="1"/>
  <c r="G25" i="1" s="1"/>
  <c r="D24" i="1"/>
  <c r="G24" i="1" s="1"/>
  <c r="D23" i="1"/>
  <c r="G23" i="1" s="1"/>
  <c r="D22" i="1"/>
  <c r="G22" i="1" s="1"/>
  <c r="D5" i="1"/>
  <c r="G5" i="1" s="1"/>
  <c r="D6" i="1"/>
  <c r="G6" i="1" s="1"/>
  <c r="D7" i="1"/>
  <c r="D8" i="1"/>
  <c r="G8" i="1" s="1"/>
  <c r="D9" i="1"/>
  <c r="G9" i="1" s="1"/>
  <c r="D10" i="1"/>
  <c r="G10" i="1" s="1"/>
  <c r="D11" i="1"/>
  <c r="G11" i="1" s="1"/>
  <c r="D12" i="1"/>
  <c r="G12" i="1" s="1"/>
  <c r="D13" i="1"/>
  <c r="G13" i="1" s="1"/>
  <c r="D14" i="1"/>
  <c r="G14" i="1" s="1"/>
  <c r="D15" i="1"/>
  <c r="G15" i="1" s="1"/>
  <c r="D16" i="1"/>
  <c r="G16" i="1" s="1"/>
  <c r="D17" i="1"/>
  <c r="G17" i="1" s="1"/>
  <c r="D18" i="1"/>
  <c r="G18" i="1" s="1"/>
  <c r="D19" i="1"/>
  <c r="G19" i="1" s="1"/>
  <c r="D20" i="1"/>
  <c r="G20" i="1" s="1"/>
  <c r="D4" i="1"/>
  <c r="G4" i="1" s="1"/>
  <c r="G328" i="1" l="1"/>
</calcChain>
</file>

<file path=xl/sharedStrings.xml><?xml version="1.0" encoding="utf-8"?>
<sst xmlns="http://schemas.openxmlformats.org/spreadsheetml/2006/main" count="861" uniqueCount="698">
  <si>
    <t>Artikel-Nr.</t>
  </si>
  <si>
    <t>Artikel</t>
  </si>
  <si>
    <t>Bemerkung</t>
  </si>
  <si>
    <t>Preis m.%</t>
  </si>
  <si>
    <t>1101. </t>
  </si>
  <si>
    <r>
      <t xml:space="preserve">Brillenreinigungsflüssigkeit </t>
    </r>
    <r>
      <rPr>
        <b/>
        <sz val="9"/>
        <color theme="1"/>
        <rFont val="Arial Narrow"/>
        <family val="2"/>
      </rPr>
      <t>Suva/Haberkorn</t>
    </r>
  </si>
  <si>
    <t>3 l</t>
  </si>
  <si>
    <t>1102. </t>
  </si>
  <si>
    <t>Brillenreinigungstücher</t>
  </si>
  <si>
    <t xml:space="preserve">200 Blatt </t>
  </si>
  <si>
    <t>1103. </t>
  </si>
  <si>
    <t>Brillenreinigungsboxe Komplet mit Spritzfl.</t>
  </si>
  <si>
    <t>Stk.</t>
  </si>
  <si>
    <t>1104. </t>
  </si>
  <si>
    <t>Gehörschutzpfropfen</t>
  </si>
  <si>
    <t xml:space="preserve">200 Paar </t>
  </si>
  <si>
    <t>1105.a</t>
  </si>
  <si>
    <r>
      <t xml:space="preserve">Schutzbrille </t>
    </r>
    <r>
      <rPr>
        <b/>
        <sz val="10"/>
        <color theme="1"/>
        <rFont val="Arial Narrow"/>
        <family val="2"/>
      </rPr>
      <t>normal</t>
    </r>
  </si>
  <si>
    <t>1105.b</t>
  </si>
  <si>
    <r>
      <t xml:space="preserve">Schutzbrille </t>
    </r>
    <r>
      <rPr>
        <b/>
        <sz val="10"/>
        <color theme="1"/>
        <rFont val="Arial Narrow"/>
        <family val="2"/>
      </rPr>
      <t>über Brille (Bollè)</t>
    </r>
  </si>
  <si>
    <t>1106. </t>
  </si>
  <si>
    <t>Staubmaske</t>
  </si>
  <si>
    <t>1107. </t>
  </si>
  <si>
    <t>Augenschutz Station 2 Flaschen Komplett</t>
  </si>
  <si>
    <t>1108. </t>
  </si>
  <si>
    <t>Augenschutz 1 lt. Flasche  (Ersatz)</t>
  </si>
  <si>
    <t>1 l Flasche</t>
  </si>
  <si>
    <t>1109. </t>
  </si>
  <si>
    <t>Atemschutzmaske mit (Filter 2 Stk.)</t>
  </si>
  <si>
    <r>
      <t>Löschdecken</t>
    </r>
    <r>
      <rPr>
        <b/>
        <sz val="10"/>
        <color theme="1"/>
        <rFont val="Arial Narrow"/>
        <family val="2"/>
      </rPr>
      <t xml:space="preserve"> Modell</t>
    </r>
  </si>
  <si>
    <t>Brillenreinigung Flasche Ersatz  0.5 l</t>
  </si>
  <si>
    <t xml:space="preserve">Brillenreinigung Flasche Deckel Ersatz </t>
  </si>
  <si>
    <t>Biella Nero S2 (nur Küche)</t>
  </si>
  <si>
    <t>Venezia Nero (nur Küche)</t>
  </si>
  <si>
    <t>Abeba 7031 schwarz / offen (nur Küche)</t>
  </si>
  <si>
    <t>1201. </t>
  </si>
  <si>
    <t>Baumwollhandschuhe</t>
  </si>
  <si>
    <t>Gr.   7 Paar</t>
  </si>
  <si>
    <t>1202. </t>
  </si>
  <si>
    <t>Gr.   8 Paar</t>
  </si>
  <si>
    <t>1203. </t>
  </si>
  <si>
    <t>Gr.   9 Paar</t>
  </si>
  <si>
    <t>1204. </t>
  </si>
  <si>
    <t>Gr. 10 Paar</t>
  </si>
  <si>
    <t>1205. </t>
  </si>
  <si>
    <t>Gr. 11 Paar</t>
  </si>
  <si>
    <t>1206. </t>
  </si>
  <si>
    <t>Gr. 12 Paar</t>
  </si>
  <si>
    <t>1207. </t>
  </si>
  <si>
    <t>Chloroplenlatex Säurefest</t>
  </si>
  <si>
    <t>10-10 ½ Paar</t>
  </si>
  <si>
    <r>
      <t xml:space="preserve">Einweg-Latexhandschuhe </t>
    </r>
    <r>
      <rPr>
        <u/>
        <sz val="10"/>
        <color theme="1"/>
        <rFont val="Arial Narrow"/>
        <family val="2"/>
      </rPr>
      <t>S</t>
    </r>
    <r>
      <rPr>
        <sz val="10"/>
        <color theme="1"/>
        <rFont val="Arial Narrow"/>
        <family val="2"/>
      </rPr>
      <t xml:space="preserve"> / </t>
    </r>
    <r>
      <rPr>
        <u/>
        <sz val="10"/>
        <color theme="1"/>
        <rFont val="Arial Narrow"/>
        <family val="2"/>
      </rPr>
      <t>M</t>
    </r>
    <r>
      <rPr>
        <sz val="10"/>
        <color theme="1"/>
        <rFont val="Arial Narrow"/>
        <family val="2"/>
      </rPr>
      <t xml:space="preserve"> / </t>
    </r>
    <r>
      <rPr>
        <u/>
        <sz val="10"/>
        <color theme="1"/>
        <rFont val="Arial Narrow"/>
        <family val="2"/>
      </rPr>
      <t>L</t>
    </r>
    <r>
      <rPr>
        <sz val="10"/>
        <color theme="1"/>
        <rFont val="Arial Narrow"/>
        <family val="2"/>
      </rPr>
      <t xml:space="preserve"> / </t>
    </r>
    <r>
      <rPr>
        <u/>
        <sz val="10"/>
        <color theme="1"/>
        <rFont val="Arial Narrow"/>
        <family val="2"/>
      </rPr>
      <t>XL</t>
    </r>
  </si>
  <si>
    <t>Karton à 100 Stück</t>
  </si>
  <si>
    <t>1209. </t>
  </si>
  <si>
    <t>Handschuhe Latex Reinigung Blau</t>
  </si>
  <si>
    <t>Gr. 7 - 7 ½ Paar</t>
  </si>
  <si>
    <t>1210. </t>
  </si>
  <si>
    <t>Gr. 8 - 8 ½ Paar</t>
  </si>
  <si>
    <t>1211. </t>
  </si>
  <si>
    <t>Gr. 9 - 9 ½ Paar</t>
  </si>
  <si>
    <t>1212. </t>
  </si>
  <si>
    <t>Gr. 10 - 10 ½ Paar</t>
  </si>
  <si>
    <t>1213. </t>
  </si>
  <si>
    <t>Nitril Handschuh Einweg Ungepudert Blau</t>
  </si>
  <si>
    <t>Gr. S / M / L / XL</t>
  </si>
  <si>
    <t>1214. </t>
  </si>
  <si>
    <t>Gartenhandschuhe    Gelb / Grün</t>
  </si>
  <si>
    <t>1215. </t>
  </si>
  <si>
    <t>Lederhandschuhe</t>
  </si>
  <si>
    <t>1216. </t>
  </si>
  <si>
    <t>Überziehschuhe Blau</t>
  </si>
  <si>
    <t>100 Stk.</t>
  </si>
  <si>
    <t>1217. </t>
  </si>
  <si>
    <t>Handschuhe Latex (Dünne Gelb)</t>
  </si>
  <si>
    <t>1301. </t>
  </si>
  <si>
    <t xml:space="preserve">Handcrème: Anti Dry </t>
  </si>
  <si>
    <t>100 ml</t>
  </si>
  <si>
    <t>2101. </t>
  </si>
  <si>
    <t>TLD 18/84 hw</t>
  </si>
  <si>
    <t xml:space="preserve">Stk. </t>
  </si>
  <si>
    <t>2102. </t>
  </si>
  <si>
    <t>TLD 36/83 ww</t>
  </si>
  <si>
    <t>2103. </t>
  </si>
  <si>
    <t>TLD 36/84 hw</t>
  </si>
  <si>
    <t>2104. </t>
  </si>
  <si>
    <t>TLD 58/83 ww</t>
  </si>
  <si>
    <t>2105. </t>
  </si>
  <si>
    <t>TLD 58/84 hw</t>
  </si>
  <si>
    <t>2201. </t>
  </si>
  <si>
    <t>15 W 220 - 230 V</t>
  </si>
  <si>
    <t xml:space="preserve">für Backofen Stk. </t>
  </si>
  <si>
    <t>2202. </t>
  </si>
  <si>
    <t>40 W 220 - 230 V, E14</t>
  </si>
  <si>
    <t xml:space="preserve">klein Stk. </t>
  </si>
  <si>
    <t>2203. </t>
  </si>
  <si>
    <t>40 W 220 - 230 V, E27</t>
  </si>
  <si>
    <t>2204. </t>
  </si>
  <si>
    <t xml:space="preserve">gross, matt Stk. </t>
  </si>
  <si>
    <t>2205. </t>
  </si>
  <si>
    <t>60 W 220 - 230 V, E27</t>
  </si>
  <si>
    <t xml:space="preserve">gross, klar Stk. </t>
  </si>
  <si>
    <t>2206. </t>
  </si>
  <si>
    <t>2207. </t>
  </si>
  <si>
    <t>75 W 220 - 230 V, E27</t>
  </si>
  <si>
    <t>2301. </t>
  </si>
  <si>
    <t xml:space="preserve">  6 A 500 V</t>
  </si>
  <si>
    <t>2302. </t>
  </si>
  <si>
    <t>10 A 500 V</t>
  </si>
  <si>
    <t>2303. </t>
  </si>
  <si>
    <t>16 A 500 V</t>
  </si>
  <si>
    <t>2304. </t>
  </si>
  <si>
    <t>20 A 500 V</t>
  </si>
  <si>
    <t>2305. </t>
  </si>
  <si>
    <t>25 A 500 V</t>
  </si>
  <si>
    <t>2401. </t>
  </si>
  <si>
    <t xml:space="preserve">  4 - 65 W, 220 - 240 V</t>
  </si>
  <si>
    <t>S 10 Stk</t>
  </si>
  <si>
    <t>3101. </t>
  </si>
  <si>
    <t>110 lt.</t>
  </si>
  <si>
    <t xml:space="preserve">grau Rolle </t>
  </si>
  <si>
    <t>3102. </t>
  </si>
  <si>
    <t>35 lt.</t>
  </si>
  <si>
    <t>transparent Rolle</t>
  </si>
  <si>
    <t>3103. </t>
  </si>
  <si>
    <t>3104. </t>
  </si>
  <si>
    <t>55 lt.</t>
  </si>
  <si>
    <t>transparent Stk.</t>
  </si>
  <si>
    <t>3105. </t>
  </si>
  <si>
    <t>Gitterkörbe Säcke 100 Stk.</t>
  </si>
  <si>
    <t>3 - 5 lt.</t>
  </si>
  <si>
    <t>Treteimer WC (1 Rolle)</t>
  </si>
  <si>
    <t>3201. </t>
  </si>
  <si>
    <t>Abwaschbürste</t>
  </si>
  <si>
    <t>3202. </t>
  </si>
  <si>
    <t>Hygiene - Schrubber 30cm Kunststoff</t>
  </si>
  <si>
    <t>3203. </t>
  </si>
  <si>
    <t>Besen 40 cm Kokos</t>
  </si>
  <si>
    <t>3204. </t>
  </si>
  <si>
    <t>Besen 50 cm Kokos</t>
  </si>
  <si>
    <t>3205. </t>
  </si>
  <si>
    <t>Besen 60 cm Kokos</t>
  </si>
  <si>
    <t>3206. </t>
  </si>
  <si>
    <t>Besenstiel zu Besen 32 cm</t>
  </si>
  <si>
    <t>3207. </t>
  </si>
  <si>
    <t>Besenstiel zu Besen 40 - 60 cm Angespitzt</t>
  </si>
  <si>
    <t>3208. </t>
  </si>
  <si>
    <t>Fegbürste Ersatz</t>
  </si>
  <si>
    <t>3209. </t>
  </si>
  <si>
    <t>Fegbürste Komplett</t>
  </si>
  <si>
    <t>3210. </t>
  </si>
  <si>
    <t>Handwischer Kokos</t>
  </si>
  <si>
    <t>3211. </t>
  </si>
  <si>
    <t>Kehrichtschaufel Metall</t>
  </si>
  <si>
    <t>3212. </t>
  </si>
  <si>
    <t>Heizkörperpinsel 25 mm</t>
  </si>
  <si>
    <t>3213. </t>
  </si>
  <si>
    <t>Heizkörperpinsel 36 mm</t>
  </si>
  <si>
    <t>3214. </t>
  </si>
  <si>
    <t>Reisbesen / Industriebesen</t>
  </si>
  <si>
    <t>3215. </t>
  </si>
  <si>
    <t>Hahnen Putzer</t>
  </si>
  <si>
    <t>3216. </t>
  </si>
  <si>
    <t>Flaschen Putzer</t>
  </si>
  <si>
    <t>Hygienebesen 40 mit Stiel (Rot/Blau/Gelb)</t>
  </si>
  <si>
    <t>Hygiene Kehrgarnitur (Schüfeli &amp; Bäseli)</t>
  </si>
  <si>
    <t>Stk. (Rot / Blau / Gelb)</t>
  </si>
  <si>
    <t>Hygiene Besenstiel</t>
  </si>
  <si>
    <t>Besen Rosshaar 32cm</t>
  </si>
  <si>
    <t>Besen Rosshaar 50cm</t>
  </si>
  <si>
    <t>Besen Rosshaar 60 cm</t>
  </si>
  <si>
    <t>Besen Rosshaar 80 cm</t>
  </si>
  <si>
    <t>3301. </t>
  </si>
  <si>
    <t>Abwaschlappen Baumwolle solange Vorrat</t>
  </si>
  <si>
    <t>3302. </t>
  </si>
  <si>
    <t>Kupferlappen 17x20cm</t>
  </si>
  <si>
    <t>3303. </t>
  </si>
  <si>
    <t>Putzlappen Hell / Bunt</t>
  </si>
  <si>
    <t>Sack à 10kg</t>
  </si>
  <si>
    <t>3304. </t>
  </si>
  <si>
    <t>Putzschwamm hellbraun</t>
  </si>
  <si>
    <t>weisser Pad 10 Stk.</t>
  </si>
  <si>
    <t>3305. </t>
  </si>
  <si>
    <t>Putzschwamm Weiss</t>
  </si>
  <si>
    <t>grüner Pad 10 Stk.</t>
  </si>
  <si>
    <t>3306. </t>
  </si>
  <si>
    <t>Putzschwamm Rot, Gelb, Blau, Grün</t>
  </si>
  <si>
    <t>3307. </t>
  </si>
  <si>
    <t>Bodenlappen Baumwolle</t>
  </si>
  <si>
    <t>3308. </t>
  </si>
  <si>
    <t>Spiraltopfreiniger (Edelstahlwolle)</t>
  </si>
  <si>
    <t>3309. </t>
  </si>
  <si>
    <t>Stahlwatte</t>
  </si>
  <si>
    <t xml:space="preserve">10 Stk. </t>
  </si>
  <si>
    <t>3310. </t>
  </si>
  <si>
    <t>Vliesstücher assortiert (Abwaschlappen Mehrweg)</t>
  </si>
  <si>
    <t>40 Stk.</t>
  </si>
  <si>
    <t>3311. </t>
  </si>
  <si>
    <t>Mikrofaser Tücher Rot, Gelb, Blau, Grün</t>
  </si>
  <si>
    <t>3312. </t>
  </si>
  <si>
    <r>
      <t>Zauberschwamm (</t>
    </r>
    <r>
      <rPr>
        <sz val="9"/>
        <color theme="1"/>
        <rFont val="Arial Narrow"/>
        <family val="2"/>
      </rPr>
      <t>Radiergummi mit</t>
    </r>
    <r>
      <rPr>
        <sz val="10"/>
        <color theme="1"/>
        <rFont val="Arial Narrow"/>
        <family val="2"/>
      </rPr>
      <t xml:space="preserve"> </t>
    </r>
    <r>
      <rPr>
        <sz val="9"/>
        <color theme="1"/>
        <rFont val="Arial Narrow"/>
        <family val="2"/>
      </rPr>
      <t>Wasser</t>
    </r>
    <r>
      <rPr>
        <sz val="10"/>
        <color theme="1"/>
        <rFont val="Arial Narrow"/>
        <family val="2"/>
      </rPr>
      <t>)</t>
    </r>
  </si>
  <si>
    <t>3313. </t>
  </si>
  <si>
    <t>Pack 100 Stk.</t>
  </si>
  <si>
    <t>Wiper Boul (Eimer / Reinigungstücher)</t>
  </si>
  <si>
    <t>1 Eimer</t>
  </si>
  <si>
    <t>3401. </t>
  </si>
  <si>
    <t>Dosierflasche Kompl. Leer unbeschriftet</t>
  </si>
  <si>
    <t>½ l transparent Stk.</t>
  </si>
  <si>
    <t>3402. </t>
  </si>
  <si>
    <t>Dosierflasche Kompl. Leer dl beschriftet</t>
  </si>
  <si>
    <t>3403. </t>
  </si>
  <si>
    <t>Entkalker Bathin / Karit Kompl.</t>
  </si>
  <si>
    <t xml:space="preserve">5 dl Stk. </t>
  </si>
  <si>
    <t>3404. </t>
  </si>
  <si>
    <t>Sprühkopf zu Sprühflasche</t>
  </si>
  <si>
    <t>3405. </t>
  </si>
  <si>
    <t>Sprühflasche Walco 27  Kompl.</t>
  </si>
  <si>
    <t>Stk. mit Zerstäuber</t>
  </si>
  <si>
    <t>3406. </t>
  </si>
  <si>
    <t>Deckel Weiss zu 5 dl Flaschen</t>
  </si>
  <si>
    <t>3407. </t>
  </si>
  <si>
    <t>Maja San Org. Flasch mit Decker</t>
  </si>
  <si>
    <t>3408. </t>
  </si>
  <si>
    <t>Deckel Rot zu 7 dl Flasche</t>
  </si>
  <si>
    <t>3409. </t>
  </si>
  <si>
    <t>WC-Flasche/ Thedra Komplett</t>
  </si>
  <si>
    <t>3410. </t>
  </si>
  <si>
    <t>Sprühflasche mit Zerstäuber Promag</t>
  </si>
  <si>
    <t xml:space="preserve">1/2 l transparent </t>
  </si>
  <si>
    <t>3411. </t>
  </si>
  <si>
    <t>Maya Uni Dosierflasche 5 dl Komplett</t>
  </si>
  <si>
    <t>3412. </t>
  </si>
  <si>
    <t>Clinex Superaktiv Reiniger 5dl Dosierflasche Komplett</t>
  </si>
  <si>
    <t>3413. </t>
  </si>
  <si>
    <t>Maya Forte Dosierflasche 5 dl komplett</t>
  </si>
  <si>
    <t>3414. </t>
  </si>
  <si>
    <t>Parkettpflegemittel Dosierflasche 7 dl Komplett</t>
  </si>
  <si>
    <t>Solange Vorrat</t>
  </si>
  <si>
    <t>3415. </t>
  </si>
  <si>
    <t>Ergo 8 Dosierflasche 5 dl Komplett</t>
  </si>
  <si>
    <t>3416. </t>
  </si>
  <si>
    <t>GR Radical Forte Dosierflasche 5 dl Kompl.</t>
  </si>
  <si>
    <t>3417. </t>
  </si>
  <si>
    <t>Sprühflasche Walco 36 Kompl.</t>
  </si>
  <si>
    <t>3418. </t>
  </si>
  <si>
    <t>Maya Brillant Glänzer Geschirrspüler 5 dl Dosierf. Kompl.</t>
  </si>
  <si>
    <t>3419. </t>
  </si>
  <si>
    <t>Steinex Inox 5 dl Dosierf. Kompl.</t>
  </si>
  <si>
    <t>3420. </t>
  </si>
  <si>
    <t>Klarin Plus Sprühflasche Kompl.</t>
  </si>
  <si>
    <t>3421. </t>
  </si>
  <si>
    <t>Top Glass Forte Sprühflasche Kompl.</t>
  </si>
  <si>
    <t>3422. </t>
  </si>
  <si>
    <t>Ergo 2,5 dl Dosierflasche Kompl.</t>
  </si>
  <si>
    <t>3423. </t>
  </si>
  <si>
    <t>3424. </t>
  </si>
  <si>
    <t>Orange Clean 7 dl Dosierflasche Kompl.</t>
  </si>
  <si>
    <t>3425. </t>
  </si>
  <si>
    <t>Ergo 4 / 5 dl Dosierflasche Kompl.</t>
  </si>
  <si>
    <t>3426. </t>
  </si>
  <si>
    <t>Ergo 6 / 5 dl Dosierflasche Kompl.</t>
  </si>
  <si>
    <t>3427. </t>
  </si>
  <si>
    <t>Steinet 840 Sprühflasche 5 dl Kompl.</t>
  </si>
  <si>
    <t>3428. </t>
  </si>
  <si>
    <t>OFLOR Dosierflasche 5 dl.</t>
  </si>
  <si>
    <t>3429. </t>
  </si>
  <si>
    <t>Uni Top 5 dl Kompl.</t>
  </si>
  <si>
    <t>3430. </t>
  </si>
  <si>
    <t xml:space="preserve">Maya Vit Komplett </t>
  </si>
  <si>
    <t>3431. </t>
  </si>
  <si>
    <t>Maya Multi  Komplett</t>
  </si>
  <si>
    <t>3432. </t>
  </si>
  <si>
    <t>Maya Multi Plus Komplett</t>
  </si>
  <si>
    <t>3433. </t>
  </si>
  <si>
    <t>Steinet 302 Fenster / Glasreiniger Kompl.</t>
  </si>
  <si>
    <t>3434. </t>
  </si>
  <si>
    <t>Maya Entkalker Komplett</t>
  </si>
  <si>
    <t>Aqualyt SR Glanzreiniger</t>
  </si>
  <si>
    <t>20 kg</t>
  </si>
  <si>
    <t>Aqualyt Classic</t>
  </si>
  <si>
    <t xml:space="preserve">25 kg </t>
  </si>
  <si>
    <t>Dish-Lav C Abwaschpulver</t>
  </si>
  <si>
    <t xml:space="preserve">10 kg </t>
  </si>
  <si>
    <t>Spühl Blitz Handspühlmittel</t>
  </si>
  <si>
    <t>1 l</t>
  </si>
  <si>
    <t>Aqualyt Jet</t>
  </si>
  <si>
    <t>25 l</t>
  </si>
  <si>
    <t>Dish-Lav TKS C Tauchreiniger</t>
  </si>
  <si>
    <t xml:space="preserve">15 kg </t>
  </si>
  <si>
    <t>Wasserenthärter - Salz</t>
  </si>
  <si>
    <t>Somat Tabs 3 in 1 für Geschirrspüler</t>
  </si>
  <si>
    <t>Packet 27 Stk.</t>
  </si>
  <si>
    <t>Aqualyt NS</t>
  </si>
  <si>
    <t>Aqualyt ES</t>
  </si>
  <si>
    <t>Aqualyt TR</t>
  </si>
  <si>
    <t>6 kg</t>
  </si>
  <si>
    <t>Maya Lav Basic Geschirrwaschmittel</t>
  </si>
  <si>
    <t>10 l</t>
  </si>
  <si>
    <t>4101. </t>
  </si>
  <si>
    <t>4102. </t>
  </si>
  <si>
    <t>4103. </t>
  </si>
  <si>
    <t>4104. </t>
  </si>
  <si>
    <t>4105. </t>
  </si>
  <si>
    <t>4106. </t>
  </si>
  <si>
    <t>4107. </t>
  </si>
  <si>
    <t>4108. </t>
  </si>
  <si>
    <t>4109. </t>
  </si>
  <si>
    <t>4110. </t>
  </si>
  <si>
    <t>4201. </t>
  </si>
  <si>
    <t>Steinimprägnierung 6015</t>
  </si>
  <si>
    <t xml:space="preserve">10 l </t>
  </si>
  <si>
    <t>OFLOR (Antibakterieller Reiniger)</t>
  </si>
  <si>
    <t>4203. </t>
  </si>
  <si>
    <t xml:space="preserve">Maya Easy Clinex  (Aktivreiniger) </t>
  </si>
  <si>
    <t>800 g</t>
  </si>
  <si>
    <t>4204. </t>
  </si>
  <si>
    <t>Entkalker (Karit / Neu Bathin)</t>
  </si>
  <si>
    <r>
      <t xml:space="preserve">10 l   </t>
    </r>
    <r>
      <rPr>
        <sz val="10"/>
        <color rgb="FFFF0000"/>
        <rFont val="Arial Narrow"/>
        <family val="2"/>
      </rPr>
      <t>solange Vorrat</t>
    </r>
  </si>
  <si>
    <t>4205. </t>
  </si>
  <si>
    <t>4206. </t>
  </si>
  <si>
    <t>Orange Clean (Bodenreiniger)</t>
  </si>
  <si>
    <t>4207. </t>
  </si>
  <si>
    <t xml:space="preserve">Flipp (Fettlöser für Werkstätten) </t>
  </si>
  <si>
    <t>4208. </t>
  </si>
  <si>
    <t>Maya Forte (Grill &amp; Backofenreiniger)</t>
  </si>
  <si>
    <t>4209. </t>
  </si>
  <si>
    <t>Walco 27 (Büro und Kunststoffreiniger)</t>
  </si>
  <si>
    <t>4210. </t>
  </si>
  <si>
    <t xml:space="preserve">Spray Kombi Emulsion Steinfels </t>
  </si>
  <si>
    <t>4211. </t>
  </si>
  <si>
    <t>Spray Primo Spraytrockenrein. Steinfels</t>
  </si>
  <si>
    <t>4212. </t>
  </si>
  <si>
    <t>5070 Aquanet (Steinreiniger)</t>
  </si>
  <si>
    <t>4213. </t>
  </si>
  <si>
    <t>Steinfels Floor DIN18032 Beschichtungsm.</t>
  </si>
  <si>
    <t>4214. </t>
  </si>
  <si>
    <t>4215. </t>
  </si>
  <si>
    <t>Wischpflege für versiegelte Böden Thedra</t>
  </si>
  <si>
    <t>4216. </t>
  </si>
  <si>
    <t>7 dl + leere Dosiefl. retour</t>
  </si>
  <si>
    <t>4217. </t>
  </si>
  <si>
    <t>Durgol   (Entkalker)</t>
  </si>
  <si>
    <t>4218. </t>
  </si>
  <si>
    <t>Saunarein Konzentrat</t>
  </si>
  <si>
    <t>4219. </t>
  </si>
  <si>
    <t>4220. </t>
  </si>
  <si>
    <t>Steinet 306 (Universalreiniger)</t>
  </si>
  <si>
    <t>4221. </t>
  </si>
  <si>
    <t>Maya Uni  (Allzweckreiniger)</t>
  </si>
  <si>
    <t>4222. </t>
  </si>
  <si>
    <t>Steinet 840 (Desinfektionsmittel)</t>
  </si>
  <si>
    <t>4223. </t>
  </si>
  <si>
    <t>Chromol (Chromstahlpflege)</t>
  </si>
  <si>
    <t>500 ml</t>
  </si>
  <si>
    <t>4224. </t>
  </si>
  <si>
    <t>Chrisal Economic (Entfetter)</t>
  </si>
  <si>
    <t>4225. </t>
  </si>
  <si>
    <t>Kälte Spray (Kaugummientferner)</t>
  </si>
  <si>
    <t>Dose   500ml.</t>
  </si>
  <si>
    <t>4226. </t>
  </si>
  <si>
    <t>Uni Top    (Industriereiniger)</t>
  </si>
  <si>
    <t>4227. </t>
  </si>
  <si>
    <t>Maya Super Aktive</t>
  </si>
  <si>
    <t xml:space="preserve"> 5 l</t>
  </si>
  <si>
    <t>4228. </t>
  </si>
  <si>
    <t>4229. </t>
  </si>
  <si>
    <t>Hartflüssig Wachs zum auffüllen</t>
  </si>
  <si>
    <t>4230. </t>
  </si>
  <si>
    <t>4231. </t>
  </si>
  <si>
    <t>Ergo 8 (Entfetter, Wachsentferner)</t>
  </si>
  <si>
    <r>
      <t>10 l</t>
    </r>
    <r>
      <rPr>
        <sz val="10"/>
        <color rgb="FFFF0000"/>
        <rFont val="Arial Narrow"/>
        <family val="2"/>
      </rPr>
      <t xml:space="preserve"> solange Vorrat</t>
    </r>
  </si>
  <si>
    <t>Radical Forte (Grundreiniger)</t>
  </si>
  <si>
    <t>Walco 36 (Büroreiniger)</t>
  </si>
  <si>
    <t>Maya Brillant ( Glänzer Geschirrspüler)</t>
  </si>
  <si>
    <t>20 l</t>
  </si>
  <si>
    <t>Super Power   (Fettlöser)</t>
  </si>
  <si>
    <t>Poolcid   (Schwimmbadreiniger)</t>
  </si>
  <si>
    <t>Maya Soft  (Handabwaschmittel)</t>
  </si>
  <si>
    <t>Steinet TKS  (Tiefkühlreiniger)</t>
  </si>
  <si>
    <t xml:space="preserve">Hand Desinfect E </t>
  </si>
  <si>
    <t>Top Glass Forte (Scheibenreiniger Nikotin)</t>
  </si>
  <si>
    <t>Top Finish Kunstleder (Politur)</t>
  </si>
  <si>
    <t>Wetrok Retex T2  (Teppichwaschmittel)</t>
  </si>
  <si>
    <t>Desoplex (Desinfektionsmittel Hallenbad)</t>
  </si>
  <si>
    <t>5 l</t>
  </si>
  <si>
    <t xml:space="preserve">Ergo 4  (Entfetter) </t>
  </si>
  <si>
    <t>Ergo 6  (Kalkentferner)</t>
  </si>
  <si>
    <t xml:space="preserve"> l</t>
  </si>
  <si>
    <t>Tol 4     (Reinigungsemulsion)</t>
  </si>
  <si>
    <t xml:space="preserve">Schimmelentferner </t>
  </si>
  <si>
    <t>Ergo 24  (Schaumreiniger sauer)</t>
  </si>
  <si>
    <t>Maya Multi  (Allzweckreiniger)</t>
  </si>
  <si>
    <t>Steinet 302 (Glasreiniger)</t>
  </si>
  <si>
    <t>Maya (Entkalker)</t>
  </si>
  <si>
    <t xml:space="preserve">Ergo 30 (Schaumreiniger alkalisch) </t>
  </si>
  <si>
    <t>Star Cliner Citro Sporthalle   Din. 18032</t>
  </si>
  <si>
    <t>Maya Schmierseife flüssig (Tagesstätte)</t>
  </si>
  <si>
    <t>4301. </t>
  </si>
  <si>
    <t>Maya Hand Soap</t>
  </si>
  <si>
    <t xml:space="preserve">Flasche à 500g </t>
  </si>
  <si>
    <t>4302. </t>
  </si>
  <si>
    <t>Handseife für Dosierspender Citro</t>
  </si>
  <si>
    <t>4303. </t>
  </si>
  <si>
    <t>Sandseife gepresst</t>
  </si>
  <si>
    <t>4304. </t>
  </si>
  <si>
    <t>Sandseife (Paste  Typ A)</t>
  </si>
  <si>
    <t>4305. </t>
  </si>
  <si>
    <t>Hand Antibact</t>
  </si>
  <si>
    <t xml:space="preserve">1 l           gesperrt </t>
  </si>
  <si>
    <t>5101. </t>
  </si>
  <si>
    <t>Alufolie</t>
  </si>
  <si>
    <t>30cm x 20m Stk.</t>
  </si>
  <si>
    <t>5102. </t>
  </si>
  <si>
    <t>Alufolie: Gastronom</t>
  </si>
  <si>
    <t>45cm x 150m Stk.</t>
  </si>
  <si>
    <t>5103. </t>
  </si>
  <si>
    <t>Backofenfolie</t>
  </si>
  <si>
    <t>5104. </t>
  </si>
  <si>
    <t>Filtertüten: 1 x 10</t>
  </si>
  <si>
    <t>5105. </t>
  </si>
  <si>
    <t>Filtertüten: 1 x 4</t>
  </si>
  <si>
    <t xml:space="preserve">80 Stk. </t>
  </si>
  <si>
    <t>5106. </t>
  </si>
  <si>
    <t>Filtertüten: 1 x 6</t>
  </si>
  <si>
    <t>100 Stk. (40Stk. à 2.55Fr.)</t>
  </si>
  <si>
    <t>5107. </t>
  </si>
  <si>
    <t>Warnschild „Achtung Rutschgefahr“</t>
  </si>
  <si>
    <t>Gelb Stk.</t>
  </si>
  <si>
    <t>5108. </t>
  </si>
  <si>
    <t>Filtertüten: Pa-Ho 220 (Oensingen)</t>
  </si>
  <si>
    <t>5109. </t>
  </si>
  <si>
    <t>Frischhaltefolie</t>
  </si>
  <si>
    <t>30cm x 30m Stk.  Kleine</t>
  </si>
  <si>
    <t>5110. </t>
  </si>
  <si>
    <t>Frischhaltefolie: Gastronom</t>
  </si>
  <si>
    <t>30cm x 300m</t>
  </si>
  <si>
    <t>5111. </t>
  </si>
  <si>
    <t>Kaffeebecher 2 dl Weiss</t>
  </si>
  <si>
    <t>3000 Stk. Karton</t>
  </si>
  <si>
    <t>5112. </t>
  </si>
  <si>
    <t>30cm x 300m Stk.   Gross</t>
  </si>
  <si>
    <t>5113. </t>
  </si>
  <si>
    <t>Servietten Brunch</t>
  </si>
  <si>
    <t>1000 Stk. (Karton 6000Stk.)</t>
  </si>
  <si>
    <t>5114. </t>
  </si>
  <si>
    <t>1 Beutel  = (50 Serviette)</t>
  </si>
  <si>
    <t>1 Karton = 16 Beutel</t>
  </si>
  <si>
    <t>5115. </t>
  </si>
  <si>
    <t>Tischläufer hellgrün 40cm x 24m</t>
  </si>
  <si>
    <t>Eniwa  Inn  Hellgrün</t>
  </si>
  <si>
    <t>1 Rolle =</t>
  </si>
  <si>
    <t>1 Karton = 12 Rollen</t>
  </si>
  <si>
    <t>5116. </t>
  </si>
  <si>
    <t>Dampfabzug Fettfilter Dünn</t>
  </si>
  <si>
    <t>5117. </t>
  </si>
  <si>
    <t>Dampfabzug Filter Matte</t>
  </si>
  <si>
    <t>5118. </t>
  </si>
  <si>
    <t xml:space="preserve">Servietten Farbig   ¼  gross  </t>
  </si>
  <si>
    <t>5119. </t>
  </si>
  <si>
    <t>Servietten Weiss      1/8      klein       (Gastro)</t>
  </si>
  <si>
    <r>
      <t xml:space="preserve">Pack 250  Stk.  </t>
    </r>
    <r>
      <rPr>
        <b/>
        <sz val="10"/>
        <color theme="1"/>
        <rFont val="Arial Narrow"/>
        <family val="2"/>
      </rPr>
      <t>NEU</t>
    </r>
  </si>
  <si>
    <t xml:space="preserve"> (1 Karton à 8 Pack)</t>
  </si>
  <si>
    <t xml:space="preserve">8.00 / </t>
  </si>
  <si>
    <t>5201. </t>
  </si>
  <si>
    <t>Hygienebeutel         Papier</t>
  </si>
  <si>
    <t>5202. </t>
  </si>
  <si>
    <t>Papierspender zu (Z Falztücher)</t>
  </si>
  <si>
    <t>5203. </t>
  </si>
  <si>
    <t>Mini – Tork   (Pack 12 Stk.)</t>
  </si>
  <si>
    <t>Rolle</t>
  </si>
  <si>
    <t>5204. </t>
  </si>
  <si>
    <t>Papierhandtücher (Z Falztücher) Neu</t>
  </si>
  <si>
    <t>Karton</t>
  </si>
  <si>
    <t>5205. </t>
  </si>
  <si>
    <t>Raumspray Tabak       Minatol</t>
  </si>
  <si>
    <t>0.5 l</t>
  </si>
  <si>
    <t>5206. </t>
  </si>
  <si>
    <t>Staubsaugersack: 10 l (Kessel) Minatol</t>
  </si>
  <si>
    <t>5207. </t>
  </si>
  <si>
    <t>Staubsaugersack: (Rücken) Minatol</t>
  </si>
  <si>
    <t>5208. </t>
  </si>
  <si>
    <t>Staubsaugersäcke  AERO 15 Taski</t>
  </si>
  <si>
    <t>StK.</t>
  </si>
  <si>
    <t>5209. </t>
  </si>
  <si>
    <t>WC-Papier       (8er Pack)</t>
  </si>
  <si>
    <t>1 Rolle</t>
  </si>
  <si>
    <t>5210. </t>
  </si>
  <si>
    <r>
      <t>Hygienebeutel Hygolet Blau (</t>
    </r>
    <r>
      <rPr>
        <sz val="8"/>
        <color theme="1"/>
        <rFont val="Arial Narrow"/>
        <family val="2"/>
      </rPr>
      <t>Säckli 20 Stk)</t>
    </r>
  </si>
  <si>
    <t>Karton Klein</t>
  </si>
  <si>
    <t>5211. </t>
  </si>
  <si>
    <t>Hygienebeutel zu Hygabox (Graue Säckli)</t>
  </si>
  <si>
    <t xml:space="preserve">10 Stk. 1Rolle  </t>
  </si>
  <si>
    <t>5212. </t>
  </si>
  <si>
    <t>Rollenhalter Mini  Tork</t>
  </si>
  <si>
    <t>5213. </t>
  </si>
  <si>
    <t>Staubsaugersack Sorma</t>
  </si>
  <si>
    <t>5214. </t>
  </si>
  <si>
    <t>Lav Power Kleiderwaschmittel</t>
  </si>
  <si>
    <t>20kg Sackeinzel kg verkauf</t>
  </si>
  <si>
    <t>5215. </t>
  </si>
  <si>
    <t>Melt Ablaufreiniger 750ml</t>
  </si>
  <si>
    <r>
      <t>Fl</t>
    </r>
    <r>
      <rPr>
        <b/>
        <sz val="10"/>
        <color theme="1"/>
        <rFont val="Arial Narrow"/>
        <family val="2"/>
      </rPr>
      <t xml:space="preserve">. </t>
    </r>
    <r>
      <rPr>
        <b/>
        <sz val="10"/>
        <color rgb="FFFF0000"/>
        <rFont val="Arial Narrow"/>
        <family val="2"/>
      </rPr>
      <t>nur</t>
    </r>
    <r>
      <rPr>
        <sz val="10"/>
        <color rgb="FFFF0000"/>
        <rFont val="Arial Narrow"/>
        <family val="2"/>
      </rPr>
      <t xml:space="preserve"> mit Instruktion </t>
    </r>
    <r>
      <rPr>
        <sz val="10"/>
        <color theme="1"/>
        <rFont val="Arial Narrow"/>
        <family val="2"/>
      </rPr>
      <t>verkaufen</t>
    </r>
  </si>
  <si>
    <t>5216. </t>
  </si>
  <si>
    <t>Papierrollen Gross (WH/ Intr. Küche)</t>
  </si>
  <si>
    <t>5217. </t>
  </si>
  <si>
    <t>Rollenhalter Gross   (WH/ Intr. Küche)</t>
  </si>
  <si>
    <t>5218. </t>
  </si>
  <si>
    <t>Clax Taps (Kleiderwaschmittel)</t>
  </si>
  <si>
    <t>Karton à 48 Stk</t>
  </si>
  <si>
    <t>Staubsaugersäcke zu WS 500 Minatol</t>
  </si>
  <si>
    <t>10 Stk.</t>
  </si>
  <si>
    <t xml:space="preserve">Haushaltpapierrollen </t>
  </si>
  <si>
    <t>1 Pack à 4 Rollen</t>
  </si>
  <si>
    <t>Staubsaugersäcke S6</t>
  </si>
  <si>
    <t>10 Stk</t>
  </si>
  <si>
    <t>Vliesbeutel zu SL 11</t>
  </si>
  <si>
    <t>1 Stk.</t>
  </si>
  <si>
    <t>Staubsaugersäcke T1 Rückenstaub. Thedra</t>
  </si>
  <si>
    <t>Hygienebeutel  Hygolet ( Blaue Rollen)</t>
  </si>
  <si>
    <t>Karton à 5 Rollen</t>
  </si>
  <si>
    <t>Flächendesinfektion BC – Sept</t>
  </si>
  <si>
    <t>Kanne 5 l</t>
  </si>
  <si>
    <t>Multitex Wiper Rolle DR Weiss</t>
  </si>
  <si>
    <t>Eimer zu Flächendesinfektion</t>
  </si>
  <si>
    <t>Vlies Hauben 52cm Durchmesser</t>
  </si>
  <si>
    <t>1 Beutel</t>
  </si>
  <si>
    <t>5301. </t>
  </si>
  <si>
    <t>Doppelklebeband ohne Leimrückstände</t>
  </si>
  <si>
    <t xml:space="preserve">50mm / 25m Rolle </t>
  </si>
  <si>
    <t>5302. </t>
  </si>
  <si>
    <t xml:space="preserve">Doppelklebeband normal (Neu) </t>
  </si>
  <si>
    <t>50mm / 25m Rolle</t>
  </si>
  <si>
    <t>5303. </t>
  </si>
  <si>
    <t>Malerklebeband</t>
  </si>
  <si>
    <t>19mm / 50m</t>
  </si>
  <si>
    <t>5304. </t>
  </si>
  <si>
    <t>Klebeband: Papier (Schachtel)</t>
  </si>
  <si>
    <t xml:space="preserve">5 mm / 50m Rolle </t>
  </si>
  <si>
    <t>5305. </t>
  </si>
  <si>
    <t>Handroller Klebeband  - 50mm</t>
  </si>
  <si>
    <t>5306. </t>
  </si>
  <si>
    <t>Klebeband: PVC braun</t>
  </si>
  <si>
    <t xml:space="preserve">50mm / 66m Rolle </t>
  </si>
  <si>
    <t>5307. </t>
  </si>
  <si>
    <t>Klebeband: PVC transparent</t>
  </si>
  <si>
    <t>19mm / 66m Rolle</t>
  </si>
  <si>
    <t>5308. </t>
  </si>
  <si>
    <t>50mm / 66m Rolle</t>
  </si>
  <si>
    <t>5309. </t>
  </si>
  <si>
    <t>Packschnur   (300)</t>
  </si>
  <si>
    <t>2.2 kg, dünn</t>
  </si>
  <si>
    <t>5310. </t>
  </si>
  <si>
    <t>500g, dünn</t>
  </si>
  <si>
    <t>5311. </t>
  </si>
  <si>
    <t>Packpapier RN Natronkraft (Spedition)</t>
  </si>
  <si>
    <t>Rolle 63 kg</t>
  </si>
  <si>
    <t>5312. </t>
  </si>
  <si>
    <t>Wellkarton (Qual. Schrenz) neu Preis 2011</t>
  </si>
  <si>
    <t>100cm x 75 m</t>
  </si>
  <si>
    <t>5313. </t>
  </si>
  <si>
    <t xml:space="preserve">Malerklebeband </t>
  </si>
  <si>
    <t>50mm / 50m</t>
  </si>
  <si>
    <t>Handschuhe / Überziehschuhe</t>
  </si>
  <si>
    <t>Glühbirnen</t>
  </si>
  <si>
    <t>Sicherungen</t>
  </si>
  <si>
    <t>Starter</t>
  </si>
  <si>
    <t>Abfallsäcke</t>
  </si>
  <si>
    <t>Besen, Bürsten und Pinsel</t>
  </si>
  <si>
    <t>Lappen, Tücher und Schwämme</t>
  </si>
  <si>
    <t>Abfüllflaschen alle leer</t>
  </si>
  <si>
    <t>Geschirrreiniger</t>
  </si>
  <si>
    <t>Reinigungsmittel</t>
  </si>
  <si>
    <t>Seifen</t>
  </si>
  <si>
    <t>Küche/Kantine</t>
  </si>
  <si>
    <t>Haushalt divers</t>
  </si>
  <si>
    <t>Allgemein</t>
  </si>
  <si>
    <t>Hautschutz</t>
  </si>
  <si>
    <t>Fluoreszenz - Röhren</t>
  </si>
  <si>
    <t>Hygienemaske Box à 50Stk. Bezug über S. Flück Zentrum Oensingen</t>
  </si>
  <si>
    <t>Einkaufspreise</t>
  </si>
  <si>
    <t>Lagerwert</t>
  </si>
  <si>
    <t>Menge</t>
  </si>
  <si>
    <t>Verkaufspreis</t>
  </si>
  <si>
    <t>Sammelsack Aludosen</t>
  </si>
  <si>
    <t>WC-Reiniger Profi (Sanitärreiniger)</t>
  </si>
  <si>
    <t xml:space="preserve">Fettfilter für Dampfabzug Elektrolux </t>
  </si>
  <si>
    <t>6101. </t>
  </si>
  <si>
    <t>6102. </t>
  </si>
  <si>
    <t>Gitterkorb für Abfall</t>
  </si>
  <si>
    <t>6103. </t>
  </si>
  <si>
    <t>WC-Bürsten Weiss „Profi“</t>
  </si>
  <si>
    <t>6104. </t>
  </si>
  <si>
    <t>6105. </t>
  </si>
  <si>
    <t>Pad Braun 4320mm</t>
  </si>
  <si>
    <t>1Stk.</t>
  </si>
  <si>
    <t>6106. </t>
  </si>
  <si>
    <t>Pad Blau 4320mm</t>
  </si>
  <si>
    <t>6107. </t>
  </si>
  <si>
    <t>Pad Rot 4320mm</t>
  </si>
  <si>
    <t>6108. </t>
  </si>
  <si>
    <t>Pad Weiss 4320mm</t>
  </si>
  <si>
    <t>6109. </t>
  </si>
  <si>
    <t>Pad Schwarz 4320mm</t>
  </si>
  <si>
    <t>6110. </t>
  </si>
  <si>
    <t>Pad Rechteckig 25x12 cm Weiss</t>
  </si>
  <si>
    <t>Pack à 5 Stk.</t>
  </si>
  <si>
    <t>6111. </t>
  </si>
  <si>
    <t xml:space="preserve">Pad Rechteckig 25x12 cm Blau / Grün </t>
  </si>
  <si>
    <t>6112. </t>
  </si>
  <si>
    <t>Pad Rechteckig 25x12 cm Braun</t>
  </si>
  <si>
    <t>6113. </t>
  </si>
  <si>
    <t>WC Sitzreiniger Spender</t>
  </si>
  <si>
    <t>1 Stk. Weiss</t>
  </si>
  <si>
    <t>6114. </t>
  </si>
  <si>
    <t>WC Sitzreiniger Nachfüllbeutel</t>
  </si>
  <si>
    <t>1 Stk. 400ml</t>
  </si>
  <si>
    <t>6115. </t>
  </si>
  <si>
    <t xml:space="preserve">Schleifnetz für Einscheibenmaschine </t>
  </si>
  <si>
    <t>Körnung 100</t>
  </si>
  <si>
    <t>6116. </t>
  </si>
  <si>
    <t>1 Rolle.</t>
  </si>
  <si>
    <t>6117. </t>
  </si>
  <si>
    <t>Dosierspender Touchless 1l</t>
  </si>
  <si>
    <t>6118. </t>
  </si>
  <si>
    <t>Gabelmopp</t>
  </si>
  <si>
    <t>6119. </t>
  </si>
  <si>
    <t>Duftperle Staubsauger</t>
  </si>
  <si>
    <t>Glas 200g</t>
  </si>
  <si>
    <t>6120. </t>
  </si>
  <si>
    <t>Handpad Grün 16x22cm</t>
  </si>
  <si>
    <t>6121. </t>
  </si>
  <si>
    <t>6122. </t>
  </si>
  <si>
    <t>Alustiel 140cm</t>
  </si>
  <si>
    <t>6123. </t>
  </si>
  <si>
    <t>Industriereiniger Dose (Lemonenbasis) Leimresten entferner</t>
  </si>
  <si>
    <t>Dose</t>
  </si>
  <si>
    <t>6124. </t>
  </si>
  <si>
    <t>Hahnenschlauch Einfüllschlauch</t>
  </si>
  <si>
    <t>6125. </t>
  </si>
  <si>
    <t xml:space="preserve">Wasserschieber 62cm Kompl. </t>
  </si>
  <si>
    <t>6126. </t>
  </si>
  <si>
    <t>Überzug zu Einwaschgerät 35cm</t>
  </si>
  <si>
    <t>6127. </t>
  </si>
  <si>
    <t>Parkettsiegel Polytec 2-K Seidenmatt</t>
  </si>
  <si>
    <t>8 l</t>
  </si>
  <si>
    <t>6128. </t>
  </si>
  <si>
    <t>Härter 2-K zu Polytec Parkettsiegel</t>
  </si>
  <si>
    <t>2 l</t>
  </si>
  <si>
    <t>6129. </t>
  </si>
  <si>
    <t>Klapphalter</t>
  </si>
  <si>
    <t>6130. </t>
  </si>
  <si>
    <t>6131. </t>
  </si>
  <si>
    <t>6132. </t>
  </si>
  <si>
    <r>
      <t>Dosierspender Kunststoff (</t>
    </r>
    <r>
      <rPr>
        <sz val="8"/>
        <color theme="1"/>
        <rFont val="Arial Narrow"/>
        <family val="2"/>
      </rPr>
      <t>Weiss / Klar) 0.5l</t>
    </r>
  </si>
  <si>
    <r>
      <t>Dosierspender Chromstahl 1lt. (</t>
    </r>
    <r>
      <rPr>
        <sz val="8"/>
        <color theme="1"/>
        <rFont val="Arial Narrow"/>
        <family val="2"/>
      </rPr>
      <t>Seife/ Desin.</t>
    </r>
    <r>
      <rPr>
        <sz val="10"/>
        <color theme="1"/>
        <rFont val="Arial Narrow"/>
        <family val="2"/>
      </rPr>
      <t>)</t>
    </r>
  </si>
  <si>
    <r>
      <t xml:space="preserve">Feuchtwischtücher </t>
    </r>
    <r>
      <rPr>
        <b/>
        <sz val="10"/>
        <color theme="1"/>
        <rFont val="Arial Narrow"/>
        <family val="2"/>
      </rPr>
      <t xml:space="preserve">Weiss </t>
    </r>
    <r>
      <rPr>
        <sz val="10"/>
        <color theme="1"/>
        <rFont val="Arial Narrow"/>
        <family val="2"/>
      </rPr>
      <t>(Masslituch) (ZVG)</t>
    </r>
  </si>
  <si>
    <r>
      <t xml:space="preserve">Eimer 6 lt. </t>
    </r>
    <r>
      <rPr>
        <sz val="8"/>
        <color theme="1"/>
        <rFont val="Arial Narrow"/>
        <family val="2"/>
      </rPr>
      <t>Rot/Blau/Gelb/Grün</t>
    </r>
    <r>
      <rPr>
        <sz val="10"/>
        <color theme="1"/>
        <rFont val="Arial Narrow"/>
        <family val="2"/>
      </rPr>
      <t xml:space="preserve"> </t>
    </r>
    <r>
      <rPr>
        <sz val="8"/>
        <color theme="1"/>
        <rFont val="Arial Narrow"/>
        <family val="2"/>
      </rPr>
      <t>(Reinigungswagen)</t>
    </r>
  </si>
  <si>
    <r>
      <t xml:space="preserve">Laschen Mopp </t>
    </r>
    <r>
      <rPr>
        <b/>
        <sz val="10"/>
        <color theme="1"/>
        <rFont val="Arial Narrow"/>
        <family val="2"/>
      </rPr>
      <t>45cm</t>
    </r>
  </si>
  <si>
    <t>Plastik Box Weiss, ALU Entsorgung</t>
  </si>
  <si>
    <t xml:space="preserve">Plastik Box, Pet Entsorgung </t>
  </si>
  <si>
    <t>4232. </t>
  </si>
  <si>
    <t>4233. </t>
  </si>
  <si>
    <t>4234. </t>
  </si>
  <si>
    <t>4235. </t>
  </si>
  <si>
    <t>4236. </t>
  </si>
  <si>
    <t>4237. </t>
  </si>
  <si>
    <t>4238. </t>
  </si>
  <si>
    <t>4239. </t>
  </si>
  <si>
    <t>4240. </t>
  </si>
  <si>
    <t>4241. </t>
  </si>
  <si>
    <t>4242. </t>
  </si>
  <si>
    <t>4243. </t>
  </si>
  <si>
    <t>4244. </t>
  </si>
  <si>
    <t>4245. </t>
  </si>
  <si>
    <t>4246. </t>
  </si>
  <si>
    <t>4247. </t>
  </si>
  <si>
    <t>4248. </t>
  </si>
  <si>
    <t>4249. </t>
  </si>
  <si>
    <t>4250. </t>
  </si>
  <si>
    <t>4251. </t>
  </si>
  <si>
    <t>4252. </t>
  </si>
  <si>
    <t>4253. </t>
  </si>
  <si>
    <t>4254. </t>
  </si>
  <si>
    <t>4255. </t>
  </si>
  <si>
    <t>4256. </t>
  </si>
  <si>
    <t>4257. </t>
  </si>
  <si>
    <t>4258. </t>
  </si>
  <si>
    <t>4259. </t>
  </si>
  <si>
    <t>4260. </t>
  </si>
  <si>
    <t>4261. </t>
  </si>
  <si>
    <t>Vlies Handschuhe (Hygiene Bad) ZVG</t>
  </si>
  <si>
    <t xml:space="preserve">1 Stk. </t>
  </si>
  <si>
    <t>Schuhe für Küche Binden</t>
  </si>
  <si>
    <t>Schuhe für Küche Schlupfschuhe</t>
  </si>
  <si>
    <t xml:space="preserve">Serviette </t>
  </si>
  <si>
    <t>Pack 250 Stk.</t>
  </si>
  <si>
    <t>Pramex Ersatz Durgol</t>
  </si>
  <si>
    <t>1L</t>
  </si>
  <si>
    <t>10L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</si>
</sst>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rgb="FFFF0000"/>
      <name val="Arial Narrow"/>
      <family val="2"/>
    </font>
    <font>
      <b/>
      <sz val="10"/>
      <color rgb="FFFF0000"/>
      <name val="Arial Narrow"/>
      <family val="2"/>
    </font>
    <font>
      <u/>
      <sz val="10"/>
      <color theme="1"/>
      <name val="Arial Narrow"/>
      <family val="2"/>
    </font>
    <font>
      <sz val="9"/>
      <color theme="1"/>
      <name val="Arial Narrow"/>
      <family val="2"/>
    </font>
    <font>
      <sz val="8"/>
      <color theme="1"/>
      <name val="Arial Narrow"/>
      <family val="2"/>
    </font>
    <font>
      <sz val="10"/>
      <name val="Arial Narrow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vertical="center" wrapText="1"/>
    </xf>
    <xf numFmtId="0" fontId="10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1" fillId="0" borderId="13" xfId="0" applyFont="1" applyBorder="1" applyAlignment="1">
      <alignment horizontal="left" vertical="center" wrapText="1" indent="4"/>
    </xf>
    <xf numFmtId="0" fontId="8" fillId="0" borderId="13" xfId="0" applyFont="1" applyBorder="1" applyAlignment="1">
      <alignment vertical="center" wrapText="1"/>
    </xf>
    <xf numFmtId="0" fontId="1" fillId="0" borderId="13" xfId="0" applyFont="1" applyBorder="1"/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2" fontId="1" fillId="0" borderId="30" xfId="0" applyNumberFormat="1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horizontal="center" vertical="center" wrapText="1"/>
    </xf>
    <xf numFmtId="2" fontId="1" fillId="0" borderId="31" xfId="0" applyNumberFormat="1" applyFont="1" applyBorder="1" applyAlignment="1">
      <alignment horizontal="center" vertical="center" wrapText="1"/>
    </xf>
    <xf numFmtId="2" fontId="1" fillId="0" borderId="27" xfId="0" applyNumberFormat="1" applyFont="1" applyBorder="1" applyAlignment="1">
      <alignment horizontal="center" vertical="center" wrapText="1"/>
    </xf>
    <xf numFmtId="2" fontId="1" fillId="0" borderId="14" xfId="0" applyNumberFormat="1" applyFont="1" applyBorder="1" applyAlignment="1">
      <alignment horizontal="center" vertical="center" wrapText="1"/>
    </xf>
    <xf numFmtId="2" fontId="1" fillId="0" borderId="32" xfId="0" applyNumberFormat="1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2" fontId="1" fillId="0" borderId="17" xfId="0" applyNumberFormat="1" applyFont="1" applyBorder="1" applyAlignment="1">
      <alignment horizontal="center" vertical="center" wrapText="1"/>
    </xf>
    <xf numFmtId="2" fontId="1" fillId="0" borderId="19" xfId="0" applyNumberFormat="1" applyFont="1" applyBorder="1" applyAlignment="1">
      <alignment horizontal="center" vertical="center" wrapText="1"/>
    </xf>
    <xf numFmtId="2" fontId="1" fillId="0" borderId="16" xfId="0" applyNumberFormat="1" applyFont="1" applyBorder="1" applyAlignment="1">
      <alignment horizontal="center" vertical="center" wrapText="1"/>
    </xf>
    <xf numFmtId="2" fontId="2" fillId="0" borderId="9" xfId="0" applyNumberFormat="1" applyFont="1" applyBorder="1" applyAlignment="1">
      <alignment horizontal="center" vertical="center" wrapText="1"/>
    </xf>
    <xf numFmtId="2" fontId="1" fillId="0" borderId="22" xfId="0" applyNumberFormat="1" applyFont="1" applyBorder="1" applyAlignment="1">
      <alignment horizontal="center" vertical="center" wrapText="1"/>
    </xf>
    <xf numFmtId="2" fontId="6" fillId="0" borderId="13" xfId="0" applyNumberFormat="1" applyFont="1" applyBorder="1" applyAlignment="1">
      <alignment horizontal="center" vertical="center" wrapText="1"/>
    </xf>
    <xf numFmtId="2" fontId="1" fillId="0" borderId="25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2" fontId="1" fillId="0" borderId="23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1" fillId="0" borderId="26" xfId="0" applyNumberFormat="1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2" fontId="1" fillId="2" borderId="14" xfId="0" applyNumberFormat="1" applyFont="1" applyFill="1" applyBorder="1" applyAlignment="1">
      <alignment horizontal="center" vertical="center" wrapText="1"/>
    </xf>
    <xf numFmtId="2" fontId="11" fillId="0" borderId="0" xfId="0" applyNumberFormat="1" applyFont="1"/>
    <xf numFmtId="0" fontId="12" fillId="0" borderId="0" xfId="0" applyFont="1"/>
    <xf numFmtId="0" fontId="1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71A6-A1F1-424F-BD6E-3C561DD4D2F4}">
  <dimension ref="A1:M328"/>
  <sheetViews>
    <sheetView tabSelected="1" zoomScale="120" zoomScaleNormal="120" workbookViewId="0">
      <pane ySplit="2" topLeftCell="A239" activePane="bottomLeft" state="frozen"/>
      <selection pane="bottomLeft" activeCell="J210" sqref="J210"/>
    </sheetView>
  </sheetViews>
  <sheetFormatPr baseColWidth="10" defaultRowHeight="15" x14ac:dyDescent="0.25"/>
  <cols>
    <col min="1" max="1" width="8" bestFit="1" customWidth="1"/>
    <col min="2" max="2" width="29.42578125" customWidth="1"/>
    <col min="4" max="5" width="13.140625" customWidth="1"/>
  </cols>
  <sheetData>
    <row r="1" spans="1:13" ht="15.75" thickTop="1" x14ac:dyDescent="0.25">
      <c r="A1" s="69" t="s">
        <v>0</v>
      </c>
      <c r="B1" s="71" t="s">
        <v>1</v>
      </c>
      <c r="C1" s="71" t="s">
        <v>2</v>
      </c>
      <c r="D1" s="67" t="s">
        <v>578</v>
      </c>
      <c r="E1" s="67" t="s">
        <v>580</v>
      </c>
      <c r="F1" s="67" t="s">
        <v>581</v>
      </c>
      <c r="G1" s="67" t="s">
        <v>579</v>
      </c>
    </row>
    <row r="2" spans="1:13" ht="15.75" thickBot="1" x14ac:dyDescent="0.3">
      <c r="A2" s="70"/>
      <c r="B2" s="72"/>
      <c r="C2" s="72"/>
      <c r="D2" s="68" t="s">
        <v>3</v>
      </c>
      <c r="E2" s="68" t="s">
        <v>3</v>
      </c>
      <c r="F2" s="68"/>
      <c r="G2" s="68"/>
    </row>
    <row r="3" spans="1:13" ht="16.5" thickBot="1" x14ac:dyDescent="0.3">
      <c r="A3" s="2"/>
      <c r="B3" s="3" t="s">
        <v>574</v>
      </c>
      <c r="C3" s="4"/>
      <c r="D3" s="5"/>
      <c r="E3" s="5"/>
      <c r="F3" s="35"/>
      <c r="G3" s="1"/>
    </row>
    <row r="4" spans="1:13" ht="26.25" x14ac:dyDescent="0.25">
      <c r="A4" s="6" t="s">
        <v>4</v>
      </c>
      <c r="B4" s="7" t="s">
        <v>5</v>
      </c>
      <c r="C4" s="7" t="s">
        <v>6</v>
      </c>
      <c r="D4" s="37">
        <f>F4/11*10</f>
        <v>86.363636363636374</v>
      </c>
      <c r="E4" s="34">
        <v>0</v>
      </c>
      <c r="F4" s="34">
        <v>95</v>
      </c>
      <c r="G4" s="40">
        <f>D4*E4</f>
        <v>0</v>
      </c>
    </row>
    <row r="5" spans="1:13" ht="15.75" thickBot="1" x14ac:dyDescent="0.3">
      <c r="A5" s="8" t="s">
        <v>7</v>
      </c>
      <c r="B5" s="9" t="s">
        <v>8</v>
      </c>
      <c r="C5" s="9" t="s">
        <v>9</v>
      </c>
      <c r="D5" s="38">
        <f t="shared" ref="D5:D20" si="0">F5/11*10</f>
        <v>7.8181818181818175</v>
      </c>
      <c r="E5" s="10"/>
      <c r="F5" s="10">
        <v>8.6</v>
      </c>
      <c r="G5" s="41">
        <f>D5*E5</f>
        <v>0</v>
      </c>
    </row>
    <row r="6" spans="1:13" ht="24.75" customHeight="1" thickBot="1" x14ac:dyDescent="0.3">
      <c r="A6" s="8" t="s">
        <v>10</v>
      </c>
      <c r="B6" s="9" t="s">
        <v>11</v>
      </c>
      <c r="C6" s="9" t="s">
        <v>12</v>
      </c>
      <c r="D6" s="38">
        <f t="shared" si="0"/>
        <v>99.500000000000014</v>
      </c>
      <c r="E6" s="10"/>
      <c r="F6" s="10">
        <v>109.45</v>
      </c>
      <c r="G6" s="41">
        <f t="shared" ref="G6:G20" si="1">D6*E6</f>
        <v>0</v>
      </c>
      <c r="I6" s="2"/>
      <c r="J6" s="3"/>
      <c r="K6" s="4"/>
      <c r="L6" s="5"/>
      <c r="M6" s="1"/>
    </row>
    <row r="7" spans="1:13" x14ac:dyDescent="0.25">
      <c r="A7" s="8" t="s">
        <v>13</v>
      </c>
      <c r="B7" s="9" t="s">
        <v>14</v>
      </c>
      <c r="C7" s="9" t="s">
        <v>15</v>
      </c>
      <c r="D7" s="38">
        <f t="shared" si="0"/>
        <v>52.727272727272727</v>
      </c>
      <c r="E7" s="10"/>
      <c r="F7" s="10">
        <v>58</v>
      </c>
      <c r="G7" s="41">
        <v>70.47</v>
      </c>
    </row>
    <row r="8" spans="1:13" x14ac:dyDescent="0.25">
      <c r="A8" s="8" t="s">
        <v>16</v>
      </c>
      <c r="B8" s="9" t="s">
        <v>17</v>
      </c>
      <c r="C8" s="9" t="s">
        <v>12</v>
      </c>
      <c r="D8" s="38">
        <f t="shared" si="0"/>
        <v>8.6363636363636367</v>
      </c>
      <c r="E8" s="10">
        <v>28</v>
      </c>
      <c r="F8" s="10">
        <v>9.5</v>
      </c>
      <c r="G8" s="41">
        <f t="shared" si="1"/>
        <v>241.81818181818181</v>
      </c>
    </row>
    <row r="9" spans="1:13" x14ac:dyDescent="0.25">
      <c r="A9" s="8" t="s">
        <v>18</v>
      </c>
      <c r="B9" s="9" t="s">
        <v>19</v>
      </c>
      <c r="C9" s="9" t="s">
        <v>12</v>
      </c>
      <c r="D9" s="38">
        <f t="shared" si="0"/>
        <v>10.999999999999998</v>
      </c>
      <c r="E9" s="10">
        <v>31</v>
      </c>
      <c r="F9" s="10">
        <v>12.1</v>
      </c>
      <c r="G9" s="41">
        <f t="shared" si="1"/>
        <v>340.99999999999994</v>
      </c>
    </row>
    <row r="10" spans="1:13" x14ac:dyDescent="0.25">
      <c r="A10" s="8" t="s">
        <v>20</v>
      </c>
      <c r="B10" s="9" t="s">
        <v>21</v>
      </c>
      <c r="C10" s="9" t="s">
        <v>12</v>
      </c>
      <c r="D10" s="38">
        <f t="shared" si="0"/>
        <v>2.1818181818181817</v>
      </c>
      <c r="E10" s="10">
        <v>23</v>
      </c>
      <c r="F10" s="10">
        <v>2.4</v>
      </c>
      <c r="G10" s="41">
        <f t="shared" si="1"/>
        <v>50.18181818181818</v>
      </c>
    </row>
    <row r="11" spans="1:13" x14ac:dyDescent="0.25">
      <c r="A11" s="8" t="s">
        <v>22</v>
      </c>
      <c r="B11" s="9" t="s">
        <v>23</v>
      </c>
      <c r="C11" s="9" t="s">
        <v>12</v>
      </c>
      <c r="D11" s="38">
        <f t="shared" si="0"/>
        <v>109</v>
      </c>
      <c r="E11" s="10">
        <v>4</v>
      </c>
      <c r="F11" s="10">
        <v>119.9</v>
      </c>
      <c r="G11" s="41">
        <f t="shared" si="1"/>
        <v>436</v>
      </c>
    </row>
    <row r="12" spans="1:13" x14ac:dyDescent="0.25">
      <c r="A12" s="8" t="s">
        <v>24</v>
      </c>
      <c r="B12" s="9" t="s">
        <v>25</v>
      </c>
      <c r="C12" s="9" t="s">
        <v>26</v>
      </c>
      <c r="D12" s="38">
        <f t="shared" si="0"/>
        <v>24.63636363636364</v>
      </c>
      <c r="E12" s="10">
        <v>0</v>
      </c>
      <c r="F12" s="10">
        <v>27.1</v>
      </c>
      <c r="G12" s="41">
        <f t="shared" si="1"/>
        <v>0</v>
      </c>
    </row>
    <row r="13" spans="1:13" x14ac:dyDescent="0.25">
      <c r="A13" s="8" t="s">
        <v>27</v>
      </c>
      <c r="B13" s="9" t="s">
        <v>28</v>
      </c>
      <c r="C13" s="9" t="s">
        <v>12</v>
      </c>
      <c r="D13" s="38">
        <f t="shared" si="0"/>
        <v>41.363636363636367</v>
      </c>
      <c r="E13" s="10">
        <v>3</v>
      </c>
      <c r="F13" s="10">
        <v>45.5</v>
      </c>
      <c r="G13" s="41">
        <f t="shared" si="1"/>
        <v>124.09090909090909</v>
      </c>
    </row>
    <row r="14" spans="1:13" x14ac:dyDescent="0.25">
      <c r="A14" s="8">
        <v>1110</v>
      </c>
      <c r="B14" s="9" t="s">
        <v>29</v>
      </c>
      <c r="C14" s="9" t="s">
        <v>12</v>
      </c>
      <c r="D14" s="38">
        <f t="shared" si="0"/>
        <v>0</v>
      </c>
      <c r="E14" s="10">
        <v>1</v>
      </c>
      <c r="F14" s="10"/>
      <c r="G14" s="41">
        <f t="shared" si="1"/>
        <v>0</v>
      </c>
    </row>
    <row r="15" spans="1:13" x14ac:dyDescent="0.25">
      <c r="A15" s="8">
        <v>1111</v>
      </c>
      <c r="B15" s="9" t="s">
        <v>30</v>
      </c>
      <c r="C15" s="9" t="s">
        <v>12</v>
      </c>
      <c r="D15" s="38">
        <f t="shared" si="0"/>
        <v>13.499999999999998</v>
      </c>
      <c r="E15" s="10">
        <v>23</v>
      </c>
      <c r="F15" s="10">
        <v>14.85</v>
      </c>
      <c r="G15" s="41">
        <f t="shared" si="1"/>
        <v>310.49999999999994</v>
      </c>
    </row>
    <row r="16" spans="1:13" x14ac:dyDescent="0.25">
      <c r="A16" s="8">
        <v>1112</v>
      </c>
      <c r="B16" s="9" t="s">
        <v>31</v>
      </c>
      <c r="C16" s="9" t="s">
        <v>12</v>
      </c>
      <c r="D16" s="38">
        <f t="shared" si="0"/>
        <v>8.8181818181818166</v>
      </c>
      <c r="E16" s="10">
        <v>0</v>
      </c>
      <c r="F16" s="10">
        <v>9.6999999999999993</v>
      </c>
      <c r="G16" s="41">
        <f t="shared" si="1"/>
        <v>0</v>
      </c>
    </row>
    <row r="17" spans="1:7" x14ac:dyDescent="0.25">
      <c r="A17" s="8">
        <v>1113</v>
      </c>
      <c r="B17" s="9" t="s">
        <v>32</v>
      </c>
      <c r="C17" s="9" t="s">
        <v>12</v>
      </c>
      <c r="D17" s="38">
        <f t="shared" si="0"/>
        <v>43.863636363636367</v>
      </c>
      <c r="E17" s="10">
        <v>0</v>
      </c>
      <c r="F17" s="10">
        <v>48.25</v>
      </c>
      <c r="G17" s="41">
        <f t="shared" si="1"/>
        <v>0</v>
      </c>
    </row>
    <row r="18" spans="1:7" x14ac:dyDescent="0.25">
      <c r="A18" s="8">
        <v>1114</v>
      </c>
      <c r="B18" s="9" t="s">
        <v>33</v>
      </c>
      <c r="C18" s="9" t="s">
        <v>12</v>
      </c>
      <c r="D18" s="38">
        <f t="shared" si="0"/>
        <v>41.636363636363633</v>
      </c>
      <c r="E18" s="10">
        <v>0</v>
      </c>
      <c r="F18" s="10">
        <v>45.8</v>
      </c>
      <c r="G18" s="41">
        <f t="shared" si="1"/>
        <v>0</v>
      </c>
    </row>
    <row r="19" spans="1:7" x14ac:dyDescent="0.25">
      <c r="A19" s="8">
        <v>1115</v>
      </c>
      <c r="B19" s="9" t="s">
        <v>34</v>
      </c>
      <c r="C19" s="9" t="s">
        <v>12</v>
      </c>
      <c r="D19" s="38">
        <f t="shared" si="0"/>
        <v>37.409090909090907</v>
      </c>
      <c r="E19" s="10">
        <v>0</v>
      </c>
      <c r="F19" s="10">
        <v>41.15</v>
      </c>
      <c r="G19" s="41">
        <f t="shared" si="1"/>
        <v>0</v>
      </c>
    </row>
    <row r="20" spans="1:7" ht="26.25" thickBot="1" x14ac:dyDescent="0.3">
      <c r="A20" s="11">
        <v>1116</v>
      </c>
      <c r="B20" s="12" t="s">
        <v>577</v>
      </c>
      <c r="C20" s="12" t="s">
        <v>12</v>
      </c>
      <c r="D20" s="39">
        <f t="shared" si="0"/>
        <v>0.68181818181818177</v>
      </c>
      <c r="E20" s="13">
        <v>1920</v>
      </c>
      <c r="F20" s="13">
        <v>0.75</v>
      </c>
      <c r="G20" s="42">
        <f t="shared" si="1"/>
        <v>1309.090909090909</v>
      </c>
    </row>
    <row r="21" spans="1:7" ht="17.25" thickTop="1" thickBot="1" x14ac:dyDescent="0.3">
      <c r="A21" s="2"/>
      <c r="B21" s="3" t="s">
        <v>561</v>
      </c>
      <c r="C21" s="4"/>
      <c r="D21" s="36"/>
      <c r="E21" s="5"/>
      <c r="F21" s="35"/>
      <c r="G21" s="23"/>
    </row>
    <row r="22" spans="1:7" ht="15.75" thickTop="1" x14ac:dyDescent="0.25">
      <c r="A22" s="14" t="s">
        <v>35</v>
      </c>
      <c r="B22" s="15" t="s">
        <v>36</v>
      </c>
      <c r="C22" s="15" t="s">
        <v>37</v>
      </c>
      <c r="D22" s="45">
        <f>F22/11*10</f>
        <v>0.90909090909090917</v>
      </c>
      <c r="E22" s="16">
        <v>190</v>
      </c>
      <c r="F22" s="16">
        <v>1</v>
      </c>
      <c r="G22" s="43">
        <f>D22*E22</f>
        <v>172.72727272727275</v>
      </c>
    </row>
    <row r="23" spans="1:7" x14ac:dyDescent="0.25">
      <c r="A23" s="8" t="s">
        <v>38</v>
      </c>
      <c r="B23" s="9" t="s">
        <v>36</v>
      </c>
      <c r="C23" s="9" t="s">
        <v>39</v>
      </c>
      <c r="D23" s="38">
        <f t="shared" ref="D23:D87" si="2">F23/11*10</f>
        <v>0.90909090909090917</v>
      </c>
      <c r="E23" s="10">
        <v>120</v>
      </c>
      <c r="F23" s="10">
        <v>1</v>
      </c>
      <c r="G23" s="41">
        <f t="shared" ref="G23:G60" si="3">D23*E23</f>
        <v>109.09090909090909</v>
      </c>
    </row>
    <row r="24" spans="1:7" x14ac:dyDescent="0.25">
      <c r="A24" s="8" t="s">
        <v>40</v>
      </c>
      <c r="B24" s="9" t="s">
        <v>36</v>
      </c>
      <c r="C24" s="9" t="s">
        <v>41</v>
      </c>
      <c r="D24" s="38">
        <f t="shared" si="2"/>
        <v>0.90909090909090917</v>
      </c>
      <c r="E24" s="10">
        <v>103</v>
      </c>
      <c r="F24" s="10">
        <v>1</v>
      </c>
      <c r="G24" s="41">
        <f t="shared" si="3"/>
        <v>93.63636363636364</v>
      </c>
    </row>
    <row r="25" spans="1:7" x14ac:dyDescent="0.25">
      <c r="A25" s="8" t="s">
        <v>42</v>
      </c>
      <c r="B25" s="9" t="s">
        <v>36</v>
      </c>
      <c r="C25" s="9" t="s">
        <v>43</v>
      </c>
      <c r="D25" s="38">
        <f t="shared" si="2"/>
        <v>0.90909090909090917</v>
      </c>
      <c r="E25" s="10">
        <v>70</v>
      </c>
      <c r="F25" s="10">
        <v>1</v>
      </c>
      <c r="G25" s="41">
        <f t="shared" si="3"/>
        <v>63.63636363636364</v>
      </c>
    </row>
    <row r="26" spans="1:7" x14ac:dyDescent="0.25">
      <c r="A26" s="8" t="s">
        <v>44</v>
      </c>
      <c r="B26" s="9" t="s">
        <v>36</v>
      </c>
      <c r="C26" s="9" t="s">
        <v>45</v>
      </c>
      <c r="D26" s="38">
        <f t="shared" si="2"/>
        <v>0.90909090909090917</v>
      </c>
      <c r="E26" s="10">
        <v>32</v>
      </c>
      <c r="F26" s="10">
        <v>1</v>
      </c>
      <c r="G26" s="41">
        <f t="shared" si="3"/>
        <v>29.090909090909093</v>
      </c>
    </row>
    <row r="27" spans="1:7" x14ac:dyDescent="0.25">
      <c r="A27" s="8" t="s">
        <v>46</v>
      </c>
      <c r="B27" s="9" t="s">
        <v>36</v>
      </c>
      <c r="C27" s="9" t="s">
        <v>47</v>
      </c>
      <c r="D27" s="38">
        <f t="shared" si="2"/>
        <v>0.90909090909090917</v>
      </c>
      <c r="E27" s="10">
        <v>62</v>
      </c>
      <c r="F27" s="10">
        <v>1</v>
      </c>
      <c r="G27" s="41">
        <f t="shared" si="3"/>
        <v>56.363636363636367</v>
      </c>
    </row>
    <row r="28" spans="1:7" x14ac:dyDescent="0.25">
      <c r="A28" s="8" t="s">
        <v>48</v>
      </c>
      <c r="B28" s="9" t="s">
        <v>49</v>
      </c>
      <c r="C28" s="9" t="s">
        <v>50</v>
      </c>
      <c r="D28" s="38">
        <f t="shared" si="2"/>
        <v>7.3636363636363633</v>
      </c>
      <c r="E28" s="10">
        <v>8</v>
      </c>
      <c r="F28" s="10">
        <v>8.1</v>
      </c>
      <c r="G28" s="41">
        <f t="shared" si="3"/>
        <v>58.909090909090907</v>
      </c>
    </row>
    <row r="29" spans="1:7" ht="25.5" x14ac:dyDescent="0.25">
      <c r="A29" s="8">
        <v>1208</v>
      </c>
      <c r="B29" s="9" t="s">
        <v>51</v>
      </c>
      <c r="C29" s="9" t="s">
        <v>52</v>
      </c>
      <c r="D29" s="38">
        <f t="shared" si="2"/>
        <v>4.8181818181818183</v>
      </c>
      <c r="E29" s="10">
        <v>20</v>
      </c>
      <c r="F29" s="10">
        <v>5.3</v>
      </c>
      <c r="G29" s="41">
        <f t="shared" si="3"/>
        <v>96.363636363636374</v>
      </c>
    </row>
    <row r="30" spans="1:7" ht="25.5" x14ac:dyDescent="0.25">
      <c r="A30" s="8" t="s">
        <v>53</v>
      </c>
      <c r="B30" s="9" t="s">
        <v>54</v>
      </c>
      <c r="C30" s="9" t="s">
        <v>55</v>
      </c>
      <c r="D30" s="38">
        <f t="shared" si="2"/>
        <v>4.5</v>
      </c>
      <c r="E30" s="10">
        <v>81</v>
      </c>
      <c r="F30" s="10">
        <v>4.95</v>
      </c>
      <c r="G30" s="41">
        <f t="shared" si="3"/>
        <v>364.5</v>
      </c>
    </row>
    <row r="31" spans="1:7" ht="25.5" x14ac:dyDescent="0.25">
      <c r="A31" s="8" t="s">
        <v>56</v>
      </c>
      <c r="B31" s="9" t="s">
        <v>54</v>
      </c>
      <c r="C31" s="9" t="s">
        <v>57</v>
      </c>
      <c r="D31" s="38">
        <f t="shared" si="2"/>
        <v>4.5</v>
      </c>
      <c r="E31" s="10">
        <v>69</v>
      </c>
      <c r="F31" s="10">
        <v>4.95</v>
      </c>
      <c r="G31" s="41">
        <f t="shared" si="3"/>
        <v>310.5</v>
      </c>
    </row>
    <row r="32" spans="1:7" ht="25.5" x14ac:dyDescent="0.25">
      <c r="A32" s="8" t="s">
        <v>58</v>
      </c>
      <c r="B32" s="9" t="s">
        <v>54</v>
      </c>
      <c r="C32" s="9" t="s">
        <v>59</v>
      </c>
      <c r="D32" s="38">
        <f t="shared" si="2"/>
        <v>4.5</v>
      </c>
      <c r="E32" s="10">
        <v>52</v>
      </c>
      <c r="F32" s="10">
        <v>4.95</v>
      </c>
      <c r="G32" s="41">
        <f t="shared" si="3"/>
        <v>234</v>
      </c>
    </row>
    <row r="33" spans="1:7" ht="25.5" x14ac:dyDescent="0.25">
      <c r="A33" s="8" t="s">
        <v>60</v>
      </c>
      <c r="B33" s="9" t="s">
        <v>54</v>
      </c>
      <c r="C33" s="9" t="s">
        <v>61</v>
      </c>
      <c r="D33" s="38">
        <f t="shared" si="2"/>
        <v>4.5</v>
      </c>
      <c r="E33" s="10">
        <v>6</v>
      </c>
      <c r="F33" s="10">
        <v>4.95</v>
      </c>
      <c r="G33" s="41">
        <f t="shared" si="3"/>
        <v>27</v>
      </c>
    </row>
    <row r="34" spans="1:7" ht="25.5" x14ac:dyDescent="0.25">
      <c r="A34" s="8" t="s">
        <v>62</v>
      </c>
      <c r="B34" s="9" t="s">
        <v>63</v>
      </c>
      <c r="C34" s="9" t="s">
        <v>64</v>
      </c>
      <c r="D34" s="38">
        <v>4.95</v>
      </c>
      <c r="E34" s="10">
        <v>2246</v>
      </c>
      <c r="F34" s="10">
        <v>7.15</v>
      </c>
      <c r="G34" s="41">
        <f t="shared" si="3"/>
        <v>11117.7</v>
      </c>
    </row>
    <row r="35" spans="1:7" ht="25.5" x14ac:dyDescent="0.25">
      <c r="A35" s="8" t="s">
        <v>65</v>
      </c>
      <c r="B35" s="9" t="s">
        <v>66</v>
      </c>
      <c r="C35" s="9" t="s">
        <v>64</v>
      </c>
      <c r="D35" s="38">
        <f t="shared" si="2"/>
        <v>1.8181818181818183</v>
      </c>
      <c r="E35" s="10">
        <v>41</v>
      </c>
      <c r="F35" s="10">
        <v>2</v>
      </c>
      <c r="G35" s="41">
        <f t="shared" si="3"/>
        <v>74.545454545454547</v>
      </c>
    </row>
    <row r="36" spans="1:7" x14ac:dyDescent="0.25">
      <c r="A36" s="8" t="s">
        <v>67</v>
      </c>
      <c r="B36" s="9" t="s">
        <v>68</v>
      </c>
      <c r="C36" s="9" t="s">
        <v>43</v>
      </c>
      <c r="D36" s="38">
        <f t="shared" si="2"/>
        <v>4.9090909090909101</v>
      </c>
      <c r="E36" s="10">
        <v>81</v>
      </c>
      <c r="F36" s="10">
        <v>5.4</v>
      </c>
      <c r="G36" s="41">
        <f t="shared" si="3"/>
        <v>397.63636363636374</v>
      </c>
    </row>
    <row r="37" spans="1:7" x14ac:dyDescent="0.25">
      <c r="A37" s="8" t="s">
        <v>69</v>
      </c>
      <c r="B37" s="9" t="s">
        <v>70</v>
      </c>
      <c r="C37" s="9" t="s">
        <v>71</v>
      </c>
      <c r="D37" s="38">
        <f t="shared" si="2"/>
        <v>3.5909090909090913</v>
      </c>
      <c r="E37" s="10">
        <v>359</v>
      </c>
      <c r="F37" s="10">
        <v>3.95</v>
      </c>
      <c r="G37" s="41">
        <f t="shared" si="3"/>
        <v>1289.1363636363637</v>
      </c>
    </row>
    <row r="38" spans="1:7" ht="15.75" thickBot="1" x14ac:dyDescent="0.3">
      <c r="A38" s="17" t="s">
        <v>72</v>
      </c>
      <c r="B38" s="18" t="s">
        <v>73</v>
      </c>
      <c r="C38" s="18" t="s">
        <v>43</v>
      </c>
      <c r="D38" s="46">
        <f t="shared" si="2"/>
        <v>1.1363636363636362</v>
      </c>
      <c r="E38" s="19">
        <v>24</v>
      </c>
      <c r="F38" s="19">
        <v>1.25</v>
      </c>
      <c r="G38" s="44">
        <f t="shared" si="3"/>
        <v>27.27272727272727</v>
      </c>
    </row>
    <row r="39" spans="1:7" ht="17.25" thickTop="1" thickBot="1" x14ac:dyDescent="0.3">
      <c r="A39" s="2"/>
      <c r="B39" s="3" t="s">
        <v>575</v>
      </c>
      <c r="C39" s="4"/>
      <c r="D39" s="47"/>
      <c r="E39" s="5"/>
      <c r="F39" s="35"/>
      <c r="G39" s="51"/>
    </row>
    <row r="40" spans="1:7" ht="16.5" thickTop="1" thickBot="1" x14ac:dyDescent="0.3">
      <c r="A40" s="20" t="s">
        <v>74</v>
      </c>
      <c r="B40" s="21" t="s">
        <v>75</v>
      </c>
      <c r="C40" s="21" t="s">
        <v>76</v>
      </c>
      <c r="D40" s="48">
        <f t="shared" si="2"/>
        <v>7.2727272727272734</v>
      </c>
      <c r="E40" s="22">
        <v>0</v>
      </c>
      <c r="F40" s="22">
        <v>8</v>
      </c>
      <c r="G40" s="52">
        <f t="shared" si="3"/>
        <v>0</v>
      </c>
    </row>
    <row r="41" spans="1:7" ht="17.25" thickTop="1" thickBot="1" x14ac:dyDescent="0.3">
      <c r="A41" s="2"/>
      <c r="B41" s="3" t="s">
        <v>576</v>
      </c>
      <c r="C41" s="4"/>
      <c r="D41" s="47"/>
      <c r="E41" s="5"/>
      <c r="F41" s="35"/>
      <c r="G41" s="51"/>
    </row>
    <row r="42" spans="1:7" ht="16.5" thickTop="1" thickBot="1" x14ac:dyDescent="0.3">
      <c r="A42" s="14" t="s">
        <v>77</v>
      </c>
      <c r="B42" s="15" t="s">
        <v>78</v>
      </c>
      <c r="C42" s="15" t="s">
        <v>79</v>
      </c>
      <c r="D42" s="45">
        <f t="shared" si="2"/>
        <v>11.090909090909092</v>
      </c>
      <c r="E42" s="16">
        <v>0</v>
      </c>
      <c r="F42" s="16">
        <v>12.2</v>
      </c>
      <c r="G42" s="43">
        <f t="shared" si="3"/>
        <v>0</v>
      </c>
    </row>
    <row r="43" spans="1:7" ht="16.5" thickTop="1" thickBot="1" x14ac:dyDescent="0.3">
      <c r="A43" s="8" t="s">
        <v>80</v>
      </c>
      <c r="B43" s="9" t="s">
        <v>81</v>
      </c>
      <c r="C43" s="9" t="s">
        <v>79</v>
      </c>
      <c r="D43" s="38">
        <f t="shared" si="2"/>
        <v>11.090909090909092</v>
      </c>
      <c r="E43" s="16">
        <v>0</v>
      </c>
      <c r="F43" s="10">
        <v>12.2</v>
      </c>
      <c r="G43" s="41">
        <f t="shared" si="3"/>
        <v>0</v>
      </c>
    </row>
    <row r="44" spans="1:7" ht="16.5" thickTop="1" thickBot="1" x14ac:dyDescent="0.3">
      <c r="A44" s="8" t="s">
        <v>82</v>
      </c>
      <c r="B44" s="9" t="s">
        <v>83</v>
      </c>
      <c r="C44" s="9" t="s">
        <v>79</v>
      </c>
      <c r="D44" s="38">
        <f t="shared" si="2"/>
        <v>11.090909090909092</v>
      </c>
      <c r="E44" s="16">
        <v>0</v>
      </c>
      <c r="F44" s="10">
        <v>12.2</v>
      </c>
      <c r="G44" s="41">
        <f t="shared" si="3"/>
        <v>0</v>
      </c>
    </row>
    <row r="45" spans="1:7" ht="16.5" thickTop="1" thickBot="1" x14ac:dyDescent="0.3">
      <c r="A45" s="8" t="s">
        <v>84</v>
      </c>
      <c r="B45" s="9" t="s">
        <v>85</v>
      </c>
      <c r="C45" s="9" t="s">
        <v>79</v>
      </c>
      <c r="D45" s="38">
        <f t="shared" si="2"/>
        <v>11.090909090909092</v>
      </c>
      <c r="E45" s="16">
        <v>0</v>
      </c>
      <c r="F45" s="10">
        <v>12.2</v>
      </c>
      <c r="G45" s="41">
        <f t="shared" si="3"/>
        <v>0</v>
      </c>
    </row>
    <row r="46" spans="1:7" ht="16.5" thickTop="1" thickBot="1" x14ac:dyDescent="0.3">
      <c r="A46" s="17" t="s">
        <v>86</v>
      </c>
      <c r="B46" s="18" t="s">
        <v>87</v>
      </c>
      <c r="C46" s="18" t="s">
        <v>79</v>
      </c>
      <c r="D46" s="46">
        <f t="shared" si="2"/>
        <v>11.090909090909092</v>
      </c>
      <c r="E46" s="16">
        <v>0</v>
      </c>
      <c r="F46" s="19">
        <v>12.2</v>
      </c>
      <c r="G46" s="44">
        <f t="shared" si="3"/>
        <v>0</v>
      </c>
    </row>
    <row r="47" spans="1:7" ht="17.25" thickTop="1" thickBot="1" x14ac:dyDescent="0.3">
      <c r="A47" s="2"/>
      <c r="B47" s="3" t="s">
        <v>562</v>
      </c>
      <c r="C47" s="4"/>
      <c r="D47" s="47"/>
      <c r="E47" s="5"/>
      <c r="F47" s="35"/>
      <c r="G47" s="51"/>
    </row>
    <row r="48" spans="1:7" ht="27" thickTop="1" thickBot="1" x14ac:dyDescent="0.3">
      <c r="A48" s="14" t="s">
        <v>88</v>
      </c>
      <c r="B48" s="15" t="s">
        <v>89</v>
      </c>
      <c r="C48" s="15" t="s">
        <v>90</v>
      </c>
      <c r="D48" s="45">
        <f t="shared" si="2"/>
        <v>4.5</v>
      </c>
      <c r="E48" s="16">
        <v>0</v>
      </c>
      <c r="F48" s="16">
        <v>4.95</v>
      </c>
      <c r="G48" s="43">
        <f t="shared" si="3"/>
        <v>0</v>
      </c>
    </row>
    <row r="49" spans="1:7" ht="16.5" thickTop="1" thickBot="1" x14ac:dyDescent="0.3">
      <c r="A49" s="8" t="s">
        <v>91</v>
      </c>
      <c r="B49" s="9" t="s">
        <v>92</v>
      </c>
      <c r="C49" s="9" t="s">
        <v>93</v>
      </c>
      <c r="D49" s="38">
        <f t="shared" si="2"/>
        <v>2.7</v>
      </c>
      <c r="E49" s="16">
        <v>0</v>
      </c>
      <c r="F49" s="10">
        <v>2.97</v>
      </c>
      <c r="G49" s="41">
        <f t="shared" si="3"/>
        <v>0</v>
      </c>
    </row>
    <row r="50" spans="1:7" ht="16.5" thickTop="1" thickBot="1" x14ac:dyDescent="0.3">
      <c r="A50" s="8" t="s">
        <v>94</v>
      </c>
      <c r="B50" s="9" t="s">
        <v>95</v>
      </c>
      <c r="C50" s="9" t="s">
        <v>93</v>
      </c>
      <c r="D50" s="38">
        <f t="shared" si="2"/>
        <v>1.4545454545454548</v>
      </c>
      <c r="E50" s="16">
        <v>0</v>
      </c>
      <c r="F50" s="10">
        <v>1.6</v>
      </c>
      <c r="G50" s="41">
        <f t="shared" si="3"/>
        <v>0</v>
      </c>
    </row>
    <row r="51" spans="1:7" ht="16.5" thickTop="1" thickBot="1" x14ac:dyDescent="0.3">
      <c r="A51" s="8" t="s">
        <v>96</v>
      </c>
      <c r="B51" s="9" t="s">
        <v>95</v>
      </c>
      <c r="C51" s="9" t="s">
        <v>97</v>
      </c>
      <c r="D51" s="38">
        <f t="shared" si="2"/>
        <v>1.4545454545454548</v>
      </c>
      <c r="E51" s="16">
        <v>0</v>
      </c>
      <c r="F51" s="10">
        <v>1.6</v>
      </c>
      <c r="G51" s="41">
        <f t="shared" si="3"/>
        <v>0</v>
      </c>
    </row>
    <row r="52" spans="1:7" ht="16.5" thickTop="1" thickBot="1" x14ac:dyDescent="0.3">
      <c r="A52" s="8" t="s">
        <v>98</v>
      </c>
      <c r="B52" s="9" t="s">
        <v>99</v>
      </c>
      <c r="C52" s="9" t="s">
        <v>100</v>
      </c>
      <c r="D52" s="38">
        <f t="shared" si="2"/>
        <v>1.4545454545454548</v>
      </c>
      <c r="E52" s="16">
        <v>0</v>
      </c>
      <c r="F52" s="10">
        <v>1.6</v>
      </c>
      <c r="G52" s="41">
        <f t="shared" si="3"/>
        <v>0</v>
      </c>
    </row>
    <row r="53" spans="1:7" ht="16.5" thickTop="1" thickBot="1" x14ac:dyDescent="0.3">
      <c r="A53" s="8" t="s">
        <v>101</v>
      </c>
      <c r="B53" s="9" t="s">
        <v>99</v>
      </c>
      <c r="C53" s="9" t="s">
        <v>97</v>
      </c>
      <c r="D53" s="38">
        <f t="shared" si="2"/>
        <v>1.4545454545454548</v>
      </c>
      <c r="E53" s="16">
        <v>0</v>
      </c>
      <c r="F53" s="10">
        <v>1.6</v>
      </c>
      <c r="G53" s="41">
        <f t="shared" si="3"/>
        <v>0</v>
      </c>
    </row>
    <row r="54" spans="1:7" ht="16.5" thickTop="1" thickBot="1" x14ac:dyDescent="0.3">
      <c r="A54" s="17" t="s">
        <v>102</v>
      </c>
      <c r="B54" s="18" t="s">
        <v>103</v>
      </c>
      <c r="C54" s="18" t="s">
        <v>97</v>
      </c>
      <c r="D54" s="46">
        <f t="shared" si="2"/>
        <v>1.7272727272727273</v>
      </c>
      <c r="E54" s="16">
        <v>0</v>
      </c>
      <c r="F54" s="19">
        <v>1.9</v>
      </c>
      <c r="G54" s="44">
        <f t="shared" si="3"/>
        <v>0</v>
      </c>
    </row>
    <row r="55" spans="1:7" ht="17.25" thickTop="1" thickBot="1" x14ac:dyDescent="0.3">
      <c r="A55" s="2"/>
      <c r="B55" s="3" t="s">
        <v>563</v>
      </c>
      <c r="C55" s="4"/>
      <c r="D55" s="47"/>
      <c r="E55" s="5"/>
      <c r="F55" s="35"/>
      <c r="G55" s="51"/>
    </row>
    <row r="56" spans="1:7" ht="16.5" thickTop="1" thickBot="1" x14ac:dyDescent="0.3">
      <c r="A56" s="14" t="s">
        <v>104</v>
      </c>
      <c r="B56" s="15" t="s">
        <v>105</v>
      </c>
      <c r="C56" s="15" t="s">
        <v>79</v>
      </c>
      <c r="D56" s="45">
        <f t="shared" si="2"/>
        <v>1.4545454545454548</v>
      </c>
      <c r="E56" s="16">
        <v>0</v>
      </c>
      <c r="F56" s="16">
        <v>1.6</v>
      </c>
      <c r="G56" s="43">
        <f t="shared" si="3"/>
        <v>0</v>
      </c>
    </row>
    <row r="57" spans="1:7" ht="16.5" thickTop="1" thickBot="1" x14ac:dyDescent="0.3">
      <c r="A57" s="8" t="s">
        <v>106</v>
      </c>
      <c r="B57" s="9" t="s">
        <v>107</v>
      </c>
      <c r="C57" s="9" t="s">
        <v>79</v>
      </c>
      <c r="D57" s="38">
        <f t="shared" si="2"/>
        <v>1.2272727272727275</v>
      </c>
      <c r="E57" s="16">
        <v>0</v>
      </c>
      <c r="F57" s="10">
        <v>1.35</v>
      </c>
      <c r="G57" s="41">
        <f t="shared" si="3"/>
        <v>0</v>
      </c>
    </row>
    <row r="58" spans="1:7" ht="16.5" thickTop="1" thickBot="1" x14ac:dyDescent="0.3">
      <c r="A58" s="8" t="s">
        <v>108</v>
      </c>
      <c r="B58" s="9" t="s">
        <v>109</v>
      </c>
      <c r="C58" s="9" t="s">
        <v>79</v>
      </c>
      <c r="D58" s="38">
        <f t="shared" si="2"/>
        <v>1.2272727272727275</v>
      </c>
      <c r="E58" s="16">
        <v>0</v>
      </c>
      <c r="F58" s="10">
        <v>1.35</v>
      </c>
      <c r="G58" s="41">
        <f t="shared" si="3"/>
        <v>0</v>
      </c>
    </row>
    <row r="59" spans="1:7" ht="16.5" thickTop="1" thickBot="1" x14ac:dyDescent="0.3">
      <c r="A59" s="8" t="s">
        <v>110</v>
      </c>
      <c r="B59" s="9" t="s">
        <v>111</v>
      </c>
      <c r="C59" s="24" t="s">
        <v>12</v>
      </c>
      <c r="D59" s="38">
        <f t="shared" si="2"/>
        <v>1.2272727272727275</v>
      </c>
      <c r="E59" s="16">
        <v>0</v>
      </c>
      <c r="F59" s="10">
        <v>1.35</v>
      </c>
      <c r="G59" s="41">
        <f t="shared" si="3"/>
        <v>0</v>
      </c>
    </row>
    <row r="60" spans="1:7" ht="16.5" thickTop="1" thickBot="1" x14ac:dyDescent="0.3">
      <c r="A60" s="17" t="s">
        <v>112</v>
      </c>
      <c r="B60" s="18" t="s">
        <v>113</v>
      </c>
      <c r="C60" s="18" t="s">
        <v>79</v>
      </c>
      <c r="D60" s="46">
        <f t="shared" si="2"/>
        <v>1.2272727272727275</v>
      </c>
      <c r="E60" s="16">
        <v>0</v>
      </c>
      <c r="F60" s="19">
        <v>1.35</v>
      </c>
      <c r="G60" s="44">
        <f t="shared" si="3"/>
        <v>0</v>
      </c>
    </row>
    <row r="61" spans="1:7" ht="17.25" thickTop="1" thickBot="1" x14ac:dyDescent="0.3">
      <c r="A61" s="2"/>
      <c r="B61" s="3" t="s">
        <v>564</v>
      </c>
      <c r="C61" s="4"/>
      <c r="D61" s="47"/>
      <c r="E61" s="5"/>
      <c r="F61" s="35"/>
      <c r="G61" s="51"/>
    </row>
    <row r="62" spans="1:7" ht="16.5" thickTop="1" thickBot="1" x14ac:dyDescent="0.3">
      <c r="A62" s="20" t="s">
        <v>114</v>
      </c>
      <c r="B62" s="21" t="s">
        <v>115</v>
      </c>
      <c r="C62" s="21" t="s">
        <v>116</v>
      </c>
      <c r="D62" s="48">
        <f t="shared" si="2"/>
        <v>1.0454545454545454</v>
      </c>
      <c r="E62" s="22">
        <v>0</v>
      </c>
      <c r="F62" s="22">
        <v>1.1499999999999999</v>
      </c>
      <c r="G62" s="52">
        <f t="shared" ref="G62" si="4">D62*E62</f>
        <v>0</v>
      </c>
    </row>
    <row r="63" spans="1:7" ht="17.25" thickTop="1" thickBot="1" x14ac:dyDescent="0.3">
      <c r="A63" s="2"/>
      <c r="B63" s="3" t="s">
        <v>565</v>
      </c>
      <c r="C63" s="4"/>
      <c r="D63" s="47"/>
      <c r="E63" s="5"/>
      <c r="F63" s="35"/>
      <c r="G63" s="51"/>
    </row>
    <row r="64" spans="1:7" ht="15.75" thickTop="1" x14ac:dyDescent="0.25">
      <c r="A64" s="14" t="s">
        <v>117</v>
      </c>
      <c r="B64" s="15" t="s">
        <v>118</v>
      </c>
      <c r="C64" s="15" t="s">
        <v>119</v>
      </c>
      <c r="D64" s="45">
        <f t="shared" si="2"/>
        <v>2.545454545454545</v>
      </c>
      <c r="E64" s="16">
        <v>32</v>
      </c>
      <c r="F64" s="16">
        <v>2.8</v>
      </c>
      <c r="G64" s="43">
        <f t="shared" ref="G64:G70" si="5">D64*E64</f>
        <v>81.454545454545439</v>
      </c>
    </row>
    <row r="65" spans="1:7" ht="25.5" x14ac:dyDescent="0.25">
      <c r="A65" s="8" t="s">
        <v>120</v>
      </c>
      <c r="B65" s="9" t="s">
        <v>121</v>
      </c>
      <c r="C65" s="9" t="s">
        <v>122</v>
      </c>
      <c r="D65" s="38">
        <f t="shared" si="2"/>
        <v>1.8181818181818183</v>
      </c>
      <c r="E65" s="10">
        <v>16</v>
      </c>
      <c r="F65" s="10">
        <v>2</v>
      </c>
      <c r="G65" s="41">
        <f t="shared" si="5"/>
        <v>29.090909090909093</v>
      </c>
    </row>
    <row r="66" spans="1:7" x14ac:dyDescent="0.25">
      <c r="A66" s="8" t="s">
        <v>123</v>
      </c>
      <c r="B66" s="9" t="s">
        <v>121</v>
      </c>
      <c r="C66" s="9" t="s">
        <v>119</v>
      </c>
      <c r="D66" s="38">
        <f t="shared" si="2"/>
        <v>1.4545454545454548</v>
      </c>
      <c r="E66" s="10">
        <v>736</v>
      </c>
      <c r="F66" s="10">
        <v>1.6</v>
      </c>
      <c r="G66" s="41">
        <f t="shared" si="5"/>
        <v>1070.5454545454547</v>
      </c>
    </row>
    <row r="67" spans="1:7" x14ac:dyDescent="0.25">
      <c r="A67" s="8" t="s">
        <v>124</v>
      </c>
      <c r="B67" s="9" t="s">
        <v>125</v>
      </c>
      <c r="C67" s="9" t="s">
        <v>126</v>
      </c>
      <c r="D67" s="38">
        <f t="shared" si="2"/>
        <v>2.7272727272727271</v>
      </c>
      <c r="E67" s="10">
        <v>4</v>
      </c>
      <c r="F67" s="10">
        <v>3</v>
      </c>
      <c r="G67" s="60">
        <f t="shared" si="5"/>
        <v>10.909090909090908</v>
      </c>
    </row>
    <row r="68" spans="1:7" ht="25.5" x14ac:dyDescent="0.25">
      <c r="A68" s="8" t="s">
        <v>127</v>
      </c>
      <c r="B68" s="9" t="s">
        <v>125</v>
      </c>
      <c r="C68" s="9" t="s">
        <v>128</v>
      </c>
      <c r="D68" s="38">
        <f t="shared" si="2"/>
        <v>4</v>
      </c>
      <c r="E68" s="10">
        <v>200</v>
      </c>
      <c r="F68" s="10">
        <v>4.4000000000000004</v>
      </c>
      <c r="G68" s="60">
        <f t="shared" si="5"/>
        <v>800</v>
      </c>
    </row>
    <row r="69" spans="1:7" ht="26.25" thickBot="1" x14ac:dyDescent="0.3">
      <c r="A69" s="17">
        <v>3106</v>
      </c>
      <c r="B69" s="18" t="s">
        <v>129</v>
      </c>
      <c r="C69" s="18" t="s">
        <v>130</v>
      </c>
      <c r="D69" s="46">
        <f t="shared" si="2"/>
        <v>1.0909090909090908</v>
      </c>
      <c r="E69" s="19">
        <v>12</v>
      </c>
      <c r="F69" s="19">
        <v>1.2</v>
      </c>
      <c r="G69" s="44">
        <f t="shared" si="5"/>
        <v>13.09090909090909</v>
      </c>
    </row>
    <row r="70" spans="1:7" ht="16.5" thickTop="1" thickBot="1" x14ac:dyDescent="0.3">
      <c r="A70" s="55">
        <v>3017</v>
      </c>
      <c r="B70" s="56" t="s">
        <v>582</v>
      </c>
      <c r="C70" s="56" t="s">
        <v>484</v>
      </c>
      <c r="D70" s="57">
        <v>4</v>
      </c>
      <c r="E70" s="58">
        <v>47</v>
      </c>
      <c r="F70" s="59">
        <v>4.4000000000000004</v>
      </c>
      <c r="G70" s="44">
        <f t="shared" si="5"/>
        <v>188</v>
      </c>
    </row>
    <row r="71" spans="1:7" ht="17.25" thickTop="1" thickBot="1" x14ac:dyDescent="0.3">
      <c r="A71" s="2"/>
      <c r="B71" s="3" t="s">
        <v>566</v>
      </c>
      <c r="C71" s="4"/>
      <c r="D71" s="47"/>
      <c r="E71" s="5"/>
      <c r="F71" s="35"/>
      <c r="G71" s="51"/>
    </row>
    <row r="72" spans="1:7" ht="15.75" thickTop="1" x14ac:dyDescent="0.25">
      <c r="A72" s="14" t="s">
        <v>131</v>
      </c>
      <c r="B72" s="15" t="s">
        <v>132</v>
      </c>
      <c r="C72" s="15" t="s">
        <v>79</v>
      </c>
      <c r="D72" s="45">
        <f t="shared" si="2"/>
        <v>2.2272727272727275</v>
      </c>
      <c r="E72" s="16">
        <v>14</v>
      </c>
      <c r="F72" s="16">
        <v>2.4500000000000002</v>
      </c>
      <c r="G72" s="43">
        <f t="shared" ref="G72:G94" si="6">D72*E72</f>
        <v>31.181818181818187</v>
      </c>
    </row>
    <row r="73" spans="1:7" x14ac:dyDescent="0.25">
      <c r="A73" s="8" t="s">
        <v>133</v>
      </c>
      <c r="B73" s="9" t="s">
        <v>134</v>
      </c>
      <c r="C73" s="9" t="s">
        <v>12</v>
      </c>
      <c r="D73" s="38">
        <f t="shared" si="2"/>
        <v>13</v>
      </c>
      <c r="E73" s="10">
        <v>11</v>
      </c>
      <c r="F73" s="10">
        <v>14.3</v>
      </c>
      <c r="G73" s="41">
        <f t="shared" si="6"/>
        <v>143</v>
      </c>
    </row>
    <row r="74" spans="1:7" x14ac:dyDescent="0.25">
      <c r="A74" s="8" t="s">
        <v>135</v>
      </c>
      <c r="B74" s="9" t="s">
        <v>136</v>
      </c>
      <c r="C74" s="9" t="s">
        <v>12</v>
      </c>
      <c r="D74" s="38">
        <f t="shared" si="2"/>
        <v>12</v>
      </c>
      <c r="E74" s="10">
        <v>7</v>
      </c>
      <c r="F74" s="10">
        <v>13.2</v>
      </c>
      <c r="G74" s="41">
        <f t="shared" si="6"/>
        <v>84</v>
      </c>
    </row>
    <row r="75" spans="1:7" x14ac:dyDescent="0.25">
      <c r="A75" s="8" t="s">
        <v>137</v>
      </c>
      <c r="B75" s="9" t="s">
        <v>138</v>
      </c>
      <c r="C75" s="9" t="s">
        <v>12</v>
      </c>
      <c r="D75" s="38">
        <f t="shared" si="2"/>
        <v>17</v>
      </c>
      <c r="E75" s="10">
        <v>7</v>
      </c>
      <c r="F75" s="10">
        <v>18.7</v>
      </c>
      <c r="G75" s="41">
        <f t="shared" si="6"/>
        <v>119</v>
      </c>
    </row>
    <row r="76" spans="1:7" x14ac:dyDescent="0.25">
      <c r="A76" s="8" t="s">
        <v>139</v>
      </c>
      <c r="B76" s="9" t="s">
        <v>140</v>
      </c>
      <c r="C76" s="9" t="s">
        <v>12</v>
      </c>
      <c r="D76" s="38">
        <f t="shared" si="2"/>
        <v>21</v>
      </c>
      <c r="E76" s="10">
        <v>1</v>
      </c>
      <c r="F76" s="10">
        <v>23.1</v>
      </c>
      <c r="G76" s="41">
        <f t="shared" si="6"/>
        <v>21</v>
      </c>
    </row>
    <row r="77" spans="1:7" x14ac:dyDescent="0.25">
      <c r="A77" s="8" t="s">
        <v>141</v>
      </c>
      <c r="B77" s="9" t="s">
        <v>142</v>
      </c>
      <c r="C77" s="9" t="s">
        <v>12</v>
      </c>
      <c r="D77" s="38">
        <f t="shared" si="2"/>
        <v>5.9090909090909092</v>
      </c>
      <c r="E77" s="10">
        <v>9</v>
      </c>
      <c r="F77" s="10">
        <v>6.5</v>
      </c>
      <c r="G77" s="41">
        <f t="shared" si="6"/>
        <v>53.18181818181818</v>
      </c>
    </row>
    <row r="78" spans="1:7" x14ac:dyDescent="0.25">
      <c r="A78" s="8" t="s">
        <v>143</v>
      </c>
      <c r="B78" s="9" t="s">
        <v>144</v>
      </c>
      <c r="C78" s="9" t="s">
        <v>12</v>
      </c>
      <c r="D78" s="38">
        <f t="shared" si="2"/>
        <v>5.9090909090909092</v>
      </c>
      <c r="E78" s="10">
        <v>14</v>
      </c>
      <c r="F78" s="10">
        <v>6.5</v>
      </c>
      <c r="G78" s="41">
        <f t="shared" si="6"/>
        <v>82.727272727272734</v>
      </c>
    </row>
    <row r="79" spans="1:7" x14ac:dyDescent="0.25">
      <c r="A79" s="8" t="s">
        <v>145</v>
      </c>
      <c r="B79" s="9" t="s">
        <v>146</v>
      </c>
      <c r="C79" s="9" t="s">
        <v>12</v>
      </c>
      <c r="D79" s="38">
        <f t="shared" si="2"/>
        <v>9.4090909090909101</v>
      </c>
      <c r="E79" s="10">
        <v>5</v>
      </c>
      <c r="F79" s="10">
        <v>10.35</v>
      </c>
      <c r="G79" s="41">
        <f t="shared" si="6"/>
        <v>47.045454545454547</v>
      </c>
    </row>
    <row r="80" spans="1:7" x14ac:dyDescent="0.25">
      <c r="A80" s="8" t="s">
        <v>147</v>
      </c>
      <c r="B80" s="9" t="s">
        <v>148</v>
      </c>
      <c r="C80" s="9" t="s">
        <v>12</v>
      </c>
      <c r="D80" s="38">
        <f t="shared" si="2"/>
        <v>15.590909090909088</v>
      </c>
      <c r="E80" s="10">
        <v>9</v>
      </c>
      <c r="F80" s="10">
        <v>17.149999999999999</v>
      </c>
      <c r="G80" s="41">
        <f t="shared" si="6"/>
        <v>140.31818181818178</v>
      </c>
    </row>
    <row r="81" spans="1:7" x14ac:dyDescent="0.25">
      <c r="A81" s="8" t="s">
        <v>149</v>
      </c>
      <c r="B81" s="9" t="s">
        <v>150</v>
      </c>
      <c r="C81" s="9" t="s">
        <v>12</v>
      </c>
      <c r="D81" s="38">
        <f t="shared" si="2"/>
        <v>4.1818181818181817</v>
      </c>
      <c r="E81" s="10">
        <v>0</v>
      </c>
      <c r="F81" s="10">
        <v>4.5999999999999996</v>
      </c>
      <c r="G81" s="41">
        <f t="shared" si="6"/>
        <v>0</v>
      </c>
    </row>
    <row r="82" spans="1:7" x14ac:dyDescent="0.25">
      <c r="A82" s="8" t="s">
        <v>151</v>
      </c>
      <c r="B82" s="9" t="s">
        <v>152</v>
      </c>
      <c r="C82" s="9" t="s">
        <v>12</v>
      </c>
      <c r="D82" s="38">
        <f t="shared" si="2"/>
        <v>8.1818181818181817</v>
      </c>
      <c r="E82" s="10">
        <v>2</v>
      </c>
      <c r="F82" s="10">
        <v>9</v>
      </c>
      <c r="G82" s="41">
        <f t="shared" si="6"/>
        <v>16.363636363636363</v>
      </c>
    </row>
    <row r="83" spans="1:7" x14ac:dyDescent="0.25">
      <c r="A83" s="8" t="s">
        <v>153</v>
      </c>
      <c r="B83" s="9" t="s">
        <v>154</v>
      </c>
      <c r="C83" s="9" t="s">
        <v>12</v>
      </c>
      <c r="D83" s="38">
        <f t="shared" si="2"/>
        <v>2.9545454545454546</v>
      </c>
      <c r="E83" s="10">
        <v>2</v>
      </c>
      <c r="F83" s="10">
        <v>3.25</v>
      </c>
      <c r="G83" s="41">
        <f t="shared" si="6"/>
        <v>5.9090909090909092</v>
      </c>
    </row>
    <row r="84" spans="1:7" x14ac:dyDescent="0.25">
      <c r="A84" s="8" t="s">
        <v>155</v>
      </c>
      <c r="B84" s="9" t="s">
        <v>156</v>
      </c>
      <c r="C84" s="9" t="s">
        <v>12</v>
      </c>
      <c r="D84" s="38">
        <f t="shared" si="2"/>
        <v>3.9545454545454546</v>
      </c>
      <c r="E84" s="10">
        <v>1</v>
      </c>
      <c r="F84" s="10">
        <v>4.3499999999999996</v>
      </c>
      <c r="G84" s="41">
        <f t="shared" si="6"/>
        <v>3.9545454545454546</v>
      </c>
    </row>
    <row r="85" spans="1:7" x14ac:dyDescent="0.25">
      <c r="A85" s="8" t="s">
        <v>157</v>
      </c>
      <c r="B85" s="9" t="s">
        <v>158</v>
      </c>
      <c r="C85" s="9" t="s">
        <v>12</v>
      </c>
      <c r="D85" s="38">
        <f t="shared" si="2"/>
        <v>9.9090909090909101</v>
      </c>
      <c r="E85" s="10">
        <v>4</v>
      </c>
      <c r="F85" s="10">
        <v>10.9</v>
      </c>
      <c r="G85" s="41">
        <f t="shared" si="6"/>
        <v>39.63636363636364</v>
      </c>
    </row>
    <row r="86" spans="1:7" ht="15.75" thickBot="1" x14ac:dyDescent="0.3">
      <c r="A86" s="8" t="s">
        <v>159</v>
      </c>
      <c r="B86" s="9" t="s">
        <v>160</v>
      </c>
      <c r="C86" s="9" t="s">
        <v>12</v>
      </c>
      <c r="D86" s="38">
        <f t="shared" si="2"/>
        <v>3.3181818181818179</v>
      </c>
      <c r="E86" s="10">
        <v>2</v>
      </c>
      <c r="F86" s="10">
        <v>3.65</v>
      </c>
      <c r="G86" s="41">
        <f t="shared" si="6"/>
        <v>6.6363636363636358</v>
      </c>
    </row>
    <row r="87" spans="1:7" ht="15.75" thickTop="1" x14ac:dyDescent="0.25">
      <c r="A87" s="8" t="s">
        <v>161</v>
      </c>
      <c r="B87" s="9" t="s">
        <v>162</v>
      </c>
      <c r="C87" s="9" t="s">
        <v>12</v>
      </c>
      <c r="D87" s="38">
        <f t="shared" si="2"/>
        <v>2.3181818181818183</v>
      </c>
      <c r="E87" s="10">
        <v>9</v>
      </c>
      <c r="F87" s="10">
        <v>2.5499999999999998</v>
      </c>
      <c r="G87" s="43">
        <v>20.65</v>
      </c>
    </row>
    <row r="88" spans="1:7" x14ac:dyDescent="0.25">
      <c r="A88" s="8">
        <v>3217</v>
      </c>
      <c r="B88" s="9" t="s">
        <v>163</v>
      </c>
      <c r="C88" s="9" t="s">
        <v>12</v>
      </c>
      <c r="D88" s="38">
        <f t="shared" ref="D88:D109" si="7">F88/11*10</f>
        <v>38.181818181818187</v>
      </c>
      <c r="E88" s="10">
        <v>14</v>
      </c>
      <c r="F88" s="10">
        <v>42</v>
      </c>
      <c r="G88" s="41">
        <f t="shared" si="6"/>
        <v>534.54545454545462</v>
      </c>
    </row>
    <row r="89" spans="1:7" ht="25.5" x14ac:dyDescent="0.25">
      <c r="A89" s="8">
        <v>3218</v>
      </c>
      <c r="B89" s="9" t="s">
        <v>164</v>
      </c>
      <c r="C89" s="9" t="s">
        <v>165</v>
      </c>
      <c r="D89" s="38">
        <f t="shared" si="7"/>
        <v>5.4545454545454541</v>
      </c>
      <c r="E89" s="10">
        <v>0</v>
      </c>
      <c r="F89" s="10">
        <v>6</v>
      </c>
      <c r="G89" s="41">
        <f t="shared" si="6"/>
        <v>0</v>
      </c>
    </row>
    <row r="90" spans="1:7" x14ac:dyDescent="0.25">
      <c r="A90" s="8">
        <v>3219</v>
      </c>
      <c r="B90" s="9" t="s">
        <v>166</v>
      </c>
      <c r="C90" s="9" t="s">
        <v>12</v>
      </c>
      <c r="D90" s="38">
        <f t="shared" si="7"/>
        <v>13.636363636363635</v>
      </c>
      <c r="E90" s="10">
        <v>4</v>
      </c>
      <c r="F90" s="10">
        <v>15</v>
      </c>
      <c r="G90" s="41">
        <f t="shared" si="6"/>
        <v>54.54545454545454</v>
      </c>
    </row>
    <row r="91" spans="1:7" x14ac:dyDescent="0.25">
      <c r="A91" s="8">
        <v>3220</v>
      </c>
      <c r="B91" s="9" t="s">
        <v>167</v>
      </c>
      <c r="C91" s="9" t="s">
        <v>12</v>
      </c>
      <c r="D91" s="38">
        <f t="shared" si="7"/>
        <v>15</v>
      </c>
      <c r="E91" s="10">
        <v>4</v>
      </c>
      <c r="F91" s="10">
        <v>16.5</v>
      </c>
      <c r="G91" s="41">
        <f t="shared" si="6"/>
        <v>60</v>
      </c>
    </row>
    <row r="92" spans="1:7" x14ac:dyDescent="0.25">
      <c r="A92" s="8">
        <v>3221</v>
      </c>
      <c r="B92" s="9" t="s">
        <v>168</v>
      </c>
      <c r="C92" s="9" t="s">
        <v>12</v>
      </c>
      <c r="D92" s="38">
        <f t="shared" si="7"/>
        <v>39.909090909090907</v>
      </c>
      <c r="E92" s="10">
        <v>0</v>
      </c>
      <c r="F92" s="10">
        <v>43.9</v>
      </c>
      <c r="G92" s="41">
        <f t="shared" si="6"/>
        <v>0</v>
      </c>
    </row>
    <row r="93" spans="1:7" x14ac:dyDescent="0.25">
      <c r="A93" s="8">
        <v>3222</v>
      </c>
      <c r="B93" s="9" t="s">
        <v>169</v>
      </c>
      <c r="C93" s="9" t="s">
        <v>12</v>
      </c>
      <c r="D93" s="38">
        <f t="shared" si="7"/>
        <v>42.36363636363636</v>
      </c>
      <c r="E93" s="10">
        <v>8</v>
      </c>
      <c r="F93" s="10">
        <v>46.6</v>
      </c>
      <c r="G93" s="41">
        <f t="shared" si="6"/>
        <v>338.90909090909088</v>
      </c>
    </row>
    <row r="94" spans="1:7" ht="15.75" thickBot="1" x14ac:dyDescent="0.3">
      <c r="A94" s="17">
        <v>3223</v>
      </c>
      <c r="B94" s="18" t="s">
        <v>170</v>
      </c>
      <c r="C94" s="18" t="s">
        <v>12</v>
      </c>
      <c r="D94" s="46">
        <f t="shared" si="7"/>
        <v>43.454545454545446</v>
      </c>
      <c r="E94" s="19">
        <v>1</v>
      </c>
      <c r="F94" s="19">
        <v>47.8</v>
      </c>
      <c r="G94" s="44">
        <f t="shared" si="6"/>
        <v>43.454545454545446</v>
      </c>
    </row>
    <row r="95" spans="1:7" ht="33" thickTop="1" thickBot="1" x14ac:dyDescent="0.3">
      <c r="A95" s="2"/>
      <c r="B95" s="3" t="s">
        <v>567</v>
      </c>
      <c r="C95" s="4"/>
      <c r="D95" s="47">
        <f t="shared" si="7"/>
        <v>0</v>
      </c>
      <c r="E95" s="5"/>
      <c r="F95" s="35"/>
      <c r="G95" s="51"/>
    </row>
    <row r="96" spans="1:7" ht="21.6" customHeight="1" thickTop="1" x14ac:dyDescent="0.25">
      <c r="A96" s="14" t="s">
        <v>171</v>
      </c>
      <c r="B96" s="15" t="s">
        <v>172</v>
      </c>
      <c r="C96" s="15" t="s">
        <v>12</v>
      </c>
      <c r="D96" s="45">
        <f t="shared" si="7"/>
        <v>1.8181818181818183</v>
      </c>
      <c r="E96" s="16">
        <v>35</v>
      </c>
      <c r="F96" s="16">
        <v>2</v>
      </c>
      <c r="G96" s="43">
        <f t="shared" ref="G96:G109" si="8">D96*E96</f>
        <v>63.63636363636364</v>
      </c>
    </row>
    <row r="97" spans="1:9" x14ac:dyDescent="0.25">
      <c r="A97" s="8" t="s">
        <v>173</v>
      </c>
      <c r="B97" s="9" t="s">
        <v>174</v>
      </c>
      <c r="C97" s="9" t="s">
        <v>79</v>
      </c>
      <c r="D97" s="38">
        <f t="shared" si="7"/>
        <v>1.9090909090909092</v>
      </c>
      <c r="E97" s="10">
        <v>0</v>
      </c>
      <c r="F97" s="10">
        <v>2.1</v>
      </c>
      <c r="G97" s="41">
        <f t="shared" si="8"/>
        <v>0</v>
      </c>
    </row>
    <row r="98" spans="1:9" x14ac:dyDescent="0.25">
      <c r="A98" s="8" t="s">
        <v>175</v>
      </c>
      <c r="B98" s="9" t="s">
        <v>176</v>
      </c>
      <c r="C98" s="9" t="s">
        <v>177</v>
      </c>
      <c r="D98" s="38">
        <f t="shared" si="7"/>
        <v>9.6363636363636367</v>
      </c>
      <c r="E98" s="10">
        <v>32</v>
      </c>
      <c r="F98" s="10">
        <v>10.6</v>
      </c>
      <c r="G98" s="41">
        <f t="shared" si="8"/>
        <v>308.36363636363637</v>
      </c>
    </row>
    <row r="99" spans="1:9" ht="25.5" x14ac:dyDescent="0.25">
      <c r="A99" s="8" t="s">
        <v>178</v>
      </c>
      <c r="B99" s="9" t="s">
        <v>179</v>
      </c>
      <c r="C99" s="9" t="s">
        <v>180</v>
      </c>
      <c r="D99" s="38">
        <f t="shared" si="7"/>
        <v>3.6363636363636367</v>
      </c>
      <c r="E99" s="10">
        <v>0</v>
      </c>
      <c r="F99" s="10">
        <v>4</v>
      </c>
      <c r="G99" s="41">
        <f t="shared" si="8"/>
        <v>0</v>
      </c>
    </row>
    <row r="100" spans="1:9" ht="25.5" x14ac:dyDescent="0.25">
      <c r="A100" s="8" t="s">
        <v>181</v>
      </c>
      <c r="B100" s="9" t="s">
        <v>182</v>
      </c>
      <c r="C100" s="9" t="s">
        <v>183</v>
      </c>
      <c r="D100" s="38">
        <f t="shared" si="7"/>
        <v>3.6363636363636367</v>
      </c>
      <c r="E100" s="10">
        <v>0</v>
      </c>
      <c r="F100" s="10">
        <v>4</v>
      </c>
      <c r="G100" s="41">
        <f t="shared" si="8"/>
        <v>0</v>
      </c>
    </row>
    <row r="101" spans="1:9" ht="25.5" x14ac:dyDescent="0.25">
      <c r="A101" s="8" t="s">
        <v>184</v>
      </c>
      <c r="B101" s="9" t="s">
        <v>185</v>
      </c>
      <c r="C101" s="9" t="s">
        <v>180</v>
      </c>
      <c r="D101" s="38">
        <f t="shared" si="7"/>
        <v>3.6363636363636367</v>
      </c>
      <c r="E101" s="10">
        <v>491</v>
      </c>
      <c r="F101" s="10">
        <v>4</v>
      </c>
      <c r="G101" s="41">
        <f t="shared" si="8"/>
        <v>1785.4545454545457</v>
      </c>
    </row>
    <row r="102" spans="1:9" x14ac:dyDescent="0.25">
      <c r="A102" s="8" t="s">
        <v>186</v>
      </c>
      <c r="B102" s="9" t="s">
        <v>187</v>
      </c>
      <c r="C102" s="9" t="s">
        <v>79</v>
      </c>
      <c r="D102" s="38">
        <f t="shared" si="7"/>
        <v>3.3181818181818179</v>
      </c>
      <c r="E102" s="10">
        <v>3</v>
      </c>
      <c r="F102" s="10">
        <v>3.65</v>
      </c>
      <c r="G102" s="41">
        <f t="shared" si="8"/>
        <v>9.9545454545454533</v>
      </c>
    </row>
    <row r="103" spans="1:9" x14ac:dyDescent="0.25">
      <c r="A103" s="8" t="s">
        <v>188</v>
      </c>
      <c r="B103" s="9" t="s">
        <v>189</v>
      </c>
      <c r="C103" s="9" t="s">
        <v>690</v>
      </c>
      <c r="D103" s="38">
        <f t="shared" si="7"/>
        <v>0.77272727272727271</v>
      </c>
      <c r="E103" s="10">
        <v>39</v>
      </c>
      <c r="F103" s="10">
        <v>0.85</v>
      </c>
      <c r="G103" s="41">
        <f t="shared" si="8"/>
        <v>30.136363636363637</v>
      </c>
    </row>
    <row r="104" spans="1:9" x14ac:dyDescent="0.25">
      <c r="A104" s="8" t="s">
        <v>190</v>
      </c>
      <c r="B104" s="9" t="s">
        <v>191</v>
      </c>
      <c r="C104" s="9" t="s">
        <v>192</v>
      </c>
      <c r="D104" s="38">
        <f t="shared" si="7"/>
        <v>3</v>
      </c>
      <c r="E104" s="10">
        <v>6</v>
      </c>
      <c r="F104" s="10">
        <v>3.3</v>
      </c>
      <c r="G104" s="41">
        <f t="shared" si="8"/>
        <v>18</v>
      </c>
    </row>
    <row r="105" spans="1:9" ht="25.5" x14ac:dyDescent="0.25">
      <c r="A105" s="8" t="s">
        <v>193</v>
      </c>
      <c r="B105" s="9" t="s">
        <v>194</v>
      </c>
      <c r="C105" s="9" t="s">
        <v>195</v>
      </c>
      <c r="D105" s="38">
        <f t="shared" si="7"/>
        <v>21</v>
      </c>
      <c r="E105" s="10">
        <v>0</v>
      </c>
      <c r="F105" s="10">
        <v>23.1</v>
      </c>
      <c r="G105" s="60">
        <f t="shared" si="8"/>
        <v>0</v>
      </c>
    </row>
    <row r="106" spans="1:9" x14ac:dyDescent="0.25">
      <c r="A106" s="8" t="s">
        <v>196</v>
      </c>
      <c r="B106" s="9" t="s">
        <v>197</v>
      </c>
      <c r="C106" s="9" t="s">
        <v>12</v>
      </c>
      <c r="D106" s="38">
        <f t="shared" si="7"/>
        <v>1.5454545454545454</v>
      </c>
      <c r="E106" s="10">
        <v>430</v>
      </c>
      <c r="F106" s="10">
        <v>1.7</v>
      </c>
      <c r="G106" s="41">
        <f t="shared" si="8"/>
        <v>664.5454545454545</v>
      </c>
    </row>
    <row r="107" spans="1:9" x14ac:dyDescent="0.25">
      <c r="A107" s="8" t="s">
        <v>198</v>
      </c>
      <c r="B107" s="9" t="s">
        <v>199</v>
      </c>
      <c r="C107" s="9" t="s">
        <v>12</v>
      </c>
      <c r="D107" s="38">
        <f t="shared" si="7"/>
        <v>1.2727272727272725</v>
      </c>
      <c r="E107" s="10">
        <v>102</v>
      </c>
      <c r="F107" s="10">
        <v>1.4</v>
      </c>
      <c r="G107" s="41">
        <f t="shared" si="8"/>
        <v>129.81818181818178</v>
      </c>
    </row>
    <row r="108" spans="1:9" x14ac:dyDescent="0.25">
      <c r="A108" s="8" t="s">
        <v>200</v>
      </c>
      <c r="B108" s="9" t="s">
        <v>689</v>
      </c>
      <c r="C108" s="9" t="s">
        <v>201</v>
      </c>
      <c r="D108" s="38">
        <f>F108/11*10</f>
        <v>5.4545454545454541</v>
      </c>
      <c r="E108" s="10">
        <v>3000</v>
      </c>
      <c r="F108" s="10">
        <v>6</v>
      </c>
      <c r="G108" s="41">
        <f t="shared" si="8"/>
        <v>16363.636363636362</v>
      </c>
      <c r="H108" s="62"/>
      <c r="I108" s="62"/>
    </row>
    <row r="109" spans="1:9" ht="15.75" thickBot="1" x14ac:dyDescent="0.3">
      <c r="A109" s="17">
        <v>3314</v>
      </c>
      <c r="B109" s="18" t="s">
        <v>202</v>
      </c>
      <c r="C109" s="18" t="s">
        <v>203</v>
      </c>
      <c r="D109" s="46">
        <f t="shared" si="7"/>
        <v>20.36363636363636</v>
      </c>
      <c r="E109" s="19">
        <v>1</v>
      </c>
      <c r="F109" s="19">
        <v>22.4</v>
      </c>
      <c r="G109" s="44">
        <f t="shared" si="8"/>
        <v>20.36363636363636</v>
      </c>
    </row>
    <row r="110" spans="1:9" ht="17.25" thickTop="1" thickBot="1" x14ac:dyDescent="0.3">
      <c r="A110" s="2"/>
      <c r="B110" s="3" t="s">
        <v>568</v>
      </c>
      <c r="C110" s="4"/>
      <c r="D110" s="47"/>
      <c r="E110" s="5"/>
      <c r="F110" s="35"/>
      <c r="G110" s="51"/>
    </row>
    <row r="111" spans="1:9" ht="26.25" thickTop="1" x14ac:dyDescent="0.25">
      <c r="A111" s="14" t="s">
        <v>204</v>
      </c>
      <c r="B111" s="15" t="s">
        <v>205</v>
      </c>
      <c r="C111" s="15" t="s">
        <v>206</v>
      </c>
      <c r="D111" s="45">
        <f t="shared" ref="D111:D144" si="9">F111/11*10</f>
        <v>3.0909090909090908</v>
      </c>
      <c r="E111" s="16">
        <v>1</v>
      </c>
      <c r="F111" s="16">
        <v>3.4</v>
      </c>
      <c r="G111" s="43">
        <f t="shared" ref="G111:G144" si="10">D111*E111</f>
        <v>3.0909090909090908</v>
      </c>
    </row>
    <row r="112" spans="1:9" ht="25.5" x14ac:dyDescent="0.25">
      <c r="A112" s="8" t="s">
        <v>207</v>
      </c>
      <c r="B112" s="9" t="s">
        <v>208</v>
      </c>
      <c r="C112" s="9" t="s">
        <v>206</v>
      </c>
      <c r="D112" s="38">
        <f t="shared" si="9"/>
        <v>3.2727272727272725</v>
      </c>
      <c r="E112" s="10">
        <v>0</v>
      </c>
      <c r="F112" s="10">
        <v>3.6</v>
      </c>
      <c r="G112" s="41">
        <f t="shared" si="10"/>
        <v>0</v>
      </c>
    </row>
    <row r="113" spans="1:7" x14ac:dyDescent="0.25">
      <c r="A113" s="8" t="s">
        <v>209</v>
      </c>
      <c r="B113" s="9" t="s">
        <v>210</v>
      </c>
      <c r="C113" s="9" t="s">
        <v>211</v>
      </c>
      <c r="D113" s="38">
        <f t="shared" si="9"/>
        <v>4.5909090909090908</v>
      </c>
      <c r="E113" s="10">
        <v>0</v>
      </c>
      <c r="F113" s="10">
        <v>5.05</v>
      </c>
      <c r="G113" s="41">
        <f t="shared" si="10"/>
        <v>0</v>
      </c>
    </row>
    <row r="114" spans="1:7" x14ac:dyDescent="0.25">
      <c r="A114" s="8" t="s">
        <v>212</v>
      </c>
      <c r="B114" s="9" t="s">
        <v>213</v>
      </c>
      <c r="C114" s="9"/>
      <c r="D114" s="38">
        <f t="shared" si="9"/>
        <v>3</v>
      </c>
      <c r="E114" s="10">
        <v>24</v>
      </c>
      <c r="F114" s="10">
        <v>3.3</v>
      </c>
      <c r="G114" s="41">
        <f t="shared" si="10"/>
        <v>72</v>
      </c>
    </row>
    <row r="115" spans="1:7" ht="25.5" x14ac:dyDescent="0.25">
      <c r="A115" s="8" t="s">
        <v>214</v>
      </c>
      <c r="B115" s="9" t="s">
        <v>215</v>
      </c>
      <c r="C115" s="9" t="s">
        <v>216</v>
      </c>
      <c r="D115" s="38">
        <f t="shared" si="9"/>
        <v>4.5909090909090908</v>
      </c>
      <c r="E115" s="10">
        <v>0</v>
      </c>
      <c r="F115" s="10">
        <v>5.05</v>
      </c>
      <c r="G115" s="41">
        <f t="shared" si="10"/>
        <v>0</v>
      </c>
    </row>
    <row r="116" spans="1:7" x14ac:dyDescent="0.25">
      <c r="A116" s="8" t="s">
        <v>217</v>
      </c>
      <c r="B116" s="9" t="s">
        <v>218</v>
      </c>
      <c r="C116" s="9" t="s">
        <v>12</v>
      </c>
      <c r="D116" s="38">
        <f t="shared" si="9"/>
        <v>0.63636363636363624</v>
      </c>
      <c r="E116" s="10">
        <v>0</v>
      </c>
      <c r="F116" s="10">
        <v>0.7</v>
      </c>
      <c r="G116" s="41">
        <f t="shared" si="10"/>
        <v>0</v>
      </c>
    </row>
    <row r="117" spans="1:7" x14ac:dyDescent="0.25">
      <c r="A117" s="8" t="s">
        <v>219</v>
      </c>
      <c r="B117" s="9" t="s">
        <v>220</v>
      </c>
      <c r="C117" s="9" t="s">
        <v>12</v>
      </c>
      <c r="D117" s="38">
        <f t="shared" si="9"/>
        <v>2.7272727272727271</v>
      </c>
      <c r="E117" s="10">
        <v>0</v>
      </c>
      <c r="F117" s="10">
        <v>3</v>
      </c>
      <c r="G117" s="41">
        <f t="shared" si="10"/>
        <v>0</v>
      </c>
    </row>
    <row r="118" spans="1:7" x14ac:dyDescent="0.25">
      <c r="A118" s="8" t="s">
        <v>221</v>
      </c>
      <c r="B118" s="9" t="s">
        <v>222</v>
      </c>
      <c r="C118" s="9" t="s">
        <v>12</v>
      </c>
      <c r="D118" s="38">
        <f t="shared" si="9"/>
        <v>0.31818181818181812</v>
      </c>
      <c r="E118" s="10">
        <v>57</v>
      </c>
      <c r="F118" s="10">
        <v>0.35</v>
      </c>
      <c r="G118" s="41">
        <f t="shared" si="10"/>
        <v>18.136363636363633</v>
      </c>
    </row>
    <row r="119" spans="1:7" x14ac:dyDescent="0.25">
      <c r="A119" s="8" t="s">
        <v>223</v>
      </c>
      <c r="B119" s="9" t="s">
        <v>224</v>
      </c>
      <c r="C119" s="9"/>
      <c r="D119" s="38">
        <f t="shared" si="9"/>
        <v>2.454545454545455</v>
      </c>
      <c r="E119" s="10">
        <v>0</v>
      </c>
      <c r="F119" s="10">
        <v>2.7</v>
      </c>
      <c r="G119" s="41">
        <f t="shared" si="10"/>
        <v>0</v>
      </c>
    </row>
    <row r="120" spans="1:7" ht="25.5" x14ac:dyDescent="0.25">
      <c r="A120" s="8" t="s">
        <v>225</v>
      </c>
      <c r="B120" s="9" t="s">
        <v>226</v>
      </c>
      <c r="C120" s="9" t="s">
        <v>227</v>
      </c>
      <c r="D120" s="38">
        <f t="shared" si="9"/>
        <v>6.1818181818181817</v>
      </c>
      <c r="E120" s="10">
        <v>0</v>
      </c>
      <c r="F120" s="10">
        <v>6.8</v>
      </c>
      <c r="G120" s="41">
        <f t="shared" si="10"/>
        <v>0</v>
      </c>
    </row>
    <row r="121" spans="1:7" x14ac:dyDescent="0.25">
      <c r="A121" s="8" t="s">
        <v>228</v>
      </c>
      <c r="B121" s="9" t="s">
        <v>229</v>
      </c>
      <c r="C121" s="9"/>
      <c r="D121" s="38">
        <f t="shared" si="9"/>
        <v>2.7272727272727271</v>
      </c>
      <c r="E121" s="10">
        <v>0</v>
      </c>
      <c r="F121" s="10">
        <v>3</v>
      </c>
      <c r="G121" s="41">
        <f t="shared" si="10"/>
        <v>0</v>
      </c>
    </row>
    <row r="122" spans="1:7" ht="25.5" x14ac:dyDescent="0.25">
      <c r="A122" s="8" t="s">
        <v>230</v>
      </c>
      <c r="B122" s="9" t="s">
        <v>231</v>
      </c>
      <c r="C122" s="9"/>
      <c r="D122" s="38">
        <f t="shared" si="9"/>
        <v>3.1818181818181817</v>
      </c>
      <c r="E122" s="10">
        <v>0</v>
      </c>
      <c r="F122" s="10">
        <v>3.5</v>
      </c>
      <c r="G122" s="41">
        <f t="shared" si="10"/>
        <v>0</v>
      </c>
    </row>
    <row r="123" spans="1:7" x14ac:dyDescent="0.25">
      <c r="A123" s="8" t="s">
        <v>232</v>
      </c>
      <c r="B123" s="9" t="s">
        <v>233</v>
      </c>
      <c r="C123" s="9"/>
      <c r="D123" s="38">
        <f t="shared" si="9"/>
        <v>4.2727272727272734</v>
      </c>
      <c r="E123" s="10">
        <v>0</v>
      </c>
      <c r="F123" s="10">
        <v>4.7</v>
      </c>
      <c r="G123" s="41">
        <f t="shared" si="10"/>
        <v>0</v>
      </c>
    </row>
    <row r="124" spans="1:7" ht="25.5" x14ac:dyDescent="0.25">
      <c r="A124" s="8" t="s">
        <v>234</v>
      </c>
      <c r="B124" s="9" t="s">
        <v>235</v>
      </c>
      <c r="C124" s="26" t="s">
        <v>236</v>
      </c>
      <c r="D124" s="49">
        <f t="shared" si="9"/>
        <v>2.2272727272727275</v>
      </c>
      <c r="E124" s="10">
        <v>0</v>
      </c>
      <c r="F124" s="10">
        <v>2.4500000000000002</v>
      </c>
      <c r="G124" s="41">
        <f t="shared" si="10"/>
        <v>0</v>
      </c>
    </row>
    <row r="125" spans="1:7" x14ac:dyDescent="0.25">
      <c r="A125" s="8" t="s">
        <v>237</v>
      </c>
      <c r="B125" s="9" t="s">
        <v>238</v>
      </c>
      <c r="C125" s="9"/>
      <c r="D125" s="38">
        <f t="shared" si="9"/>
        <v>3.5000000000000004</v>
      </c>
      <c r="E125" s="10">
        <v>0</v>
      </c>
      <c r="F125" s="10">
        <v>3.85</v>
      </c>
      <c r="G125" s="41">
        <f t="shared" si="10"/>
        <v>0</v>
      </c>
    </row>
    <row r="126" spans="1:7" ht="25.5" x14ac:dyDescent="0.25">
      <c r="A126" s="8" t="s">
        <v>239</v>
      </c>
      <c r="B126" s="9" t="s">
        <v>240</v>
      </c>
      <c r="C126" s="9"/>
      <c r="D126" s="38">
        <f t="shared" si="9"/>
        <v>3.1818181818181817</v>
      </c>
      <c r="E126" s="10">
        <v>0</v>
      </c>
      <c r="F126" s="10">
        <v>3.5</v>
      </c>
      <c r="G126" s="41">
        <f t="shared" si="10"/>
        <v>0</v>
      </c>
    </row>
    <row r="127" spans="1:7" x14ac:dyDescent="0.25">
      <c r="A127" s="8" t="s">
        <v>241</v>
      </c>
      <c r="B127" s="9" t="s">
        <v>242</v>
      </c>
      <c r="C127" s="9" t="s">
        <v>12</v>
      </c>
      <c r="D127" s="38">
        <f t="shared" si="9"/>
        <v>4.5909090909090908</v>
      </c>
      <c r="E127" s="10">
        <v>0</v>
      </c>
      <c r="F127" s="10">
        <v>5.05</v>
      </c>
      <c r="G127" s="41">
        <f t="shared" si="10"/>
        <v>0</v>
      </c>
    </row>
    <row r="128" spans="1:7" ht="25.5" x14ac:dyDescent="0.25">
      <c r="A128" s="8" t="s">
        <v>243</v>
      </c>
      <c r="B128" s="9" t="s">
        <v>244</v>
      </c>
      <c r="C128" s="9"/>
      <c r="D128" s="38">
        <f t="shared" si="9"/>
        <v>3.1818181818181817</v>
      </c>
      <c r="E128" s="10">
        <v>0</v>
      </c>
      <c r="F128" s="10">
        <v>3.5</v>
      </c>
      <c r="G128" s="41">
        <f t="shared" si="10"/>
        <v>0</v>
      </c>
    </row>
    <row r="129" spans="1:7" x14ac:dyDescent="0.25">
      <c r="A129" s="8" t="s">
        <v>245</v>
      </c>
      <c r="B129" s="9" t="s">
        <v>246</v>
      </c>
      <c r="C129" s="9"/>
      <c r="D129" s="38">
        <f t="shared" si="9"/>
        <v>3.1818181818181817</v>
      </c>
      <c r="E129" s="10">
        <v>0</v>
      </c>
      <c r="F129" s="10">
        <v>3.5</v>
      </c>
      <c r="G129" s="41">
        <f t="shared" si="10"/>
        <v>0</v>
      </c>
    </row>
    <row r="130" spans="1:7" x14ac:dyDescent="0.25">
      <c r="A130" s="8" t="s">
        <v>247</v>
      </c>
      <c r="B130" s="9" t="s">
        <v>248</v>
      </c>
      <c r="C130" s="9"/>
      <c r="D130" s="38">
        <f t="shared" si="9"/>
        <v>7.9090909090909092</v>
      </c>
      <c r="E130" s="10">
        <v>0</v>
      </c>
      <c r="F130" s="10">
        <v>8.6999999999999993</v>
      </c>
      <c r="G130" s="41">
        <f t="shared" si="10"/>
        <v>0</v>
      </c>
    </row>
    <row r="131" spans="1:7" x14ac:dyDescent="0.25">
      <c r="A131" s="8" t="s">
        <v>249</v>
      </c>
      <c r="B131" s="9" t="s">
        <v>250</v>
      </c>
      <c r="C131" s="9"/>
      <c r="D131" s="38">
        <f t="shared" si="9"/>
        <v>7.9090909090909092</v>
      </c>
      <c r="E131" s="10">
        <v>0</v>
      </c>
      <c r="F131" s="10">
        <v>8.6999999999999993</v>
      </c>
      <c r="G131" s="41">
        <f t="shared" si="10"/>
        <v>0</v>
      </c>
    </row>
    <row r="132" spans="1:7" x14ac:dyDescent="0.25">
      <c r="A132" s="8" t="s">
        <v>251</v>
      </c>
      <c r="B132" s="9" t="s">
        <v>252</v>
      </c>
      <c r="C132" s="9"/>
      <c r="D132" s="38">
        <f t="shared" si="9"/>
        <v>3.5000000000000004</v>
      </c>
      <c r="E132" s="10">
        <v>0</v>
      </c>
      <c r="F132" s="10">
        <v>3.85</v>
      </c>
      <c r="G132" s="41">
        <f t="shared" si="10"/>
        <v>0</v>
      </c>
    </row>
    <row r="133" spans="1:7" x14ac:dyDescent="0.25">
      <c r="A133" s="8" t="s">
        <v>253</v>
      </c>
      <c r="B133" s="9"/>
      <c r="C133" s="9"/>
      <c r="D133" s="38">
        <f t="shared" si="9"/>
        <v>0</v>
      </c>
      <c r="E133" s="10"/>
      <c r="F133" s="10"/>
      <c r="G133" s="41">
        <f t="shared" si="10"/>
        <v>0</v>
      </c>
    </row>
    <row r="134" spans="1:7" x14ac:dyDescent="0.25">
      <c r="A134" s="8" t="s">
        <v>254</v>
      </c>
      <c r="B134" s="9" t="s">
        <v>255</v>
      </c>
      <c r="C134" s="9"/>
      <c r="D134" s="38">
        <f t="shared" si="9"/>
        <v>2.3181818181818183</v>
      </c>
      <c r="E134" s="10">
        <v>0</v>
      </c>
      <c r="F134" s="10">
        <v>2.5499999999999998</v>
      </c>
      <c r="G134" s="41">
        <f t="shared" si="10"/>
        <v>0</v>
      </c>
    </row>
    <row r="135" spans="1:7" x14ac:dyDescent="0.25">
      <c r="A135" s="8" t="s">
        <v>256</v>
      </c>
      <c r="B135" s="9" t="s">
        <v>257</v>
      </c>
      <c r="C135" s="9"/>
      <c r="D135" s="38">
        <f t="shared" si="9"/>
        <v>3.5000000000000004</v>
      </c>
      <c r="E135" s="10">
        <v>0</v>
      </c>
      <c r="F135" s="10">
        <v>3.85</v>
      </c>
      <c r="G135" s="41">
        <f t="shared" si="10"/>
        <v>0</v>
      </c>
    </row>
    <row r="136" spans="1:7" x14ac:dyDescent="0.25">
      <c r="A136" s="8" t="s">
        <v>258</v>
      </c>
      <c r="B136" s="9" t="s">
        <v>259</v>
      </c>
      <c r="C136" s="9"/>
      <c r="D136" s="38">
        <f t="shared" si="9"/>
        <v>3.5000000000000004</v>
      </c>
      <c r="E136" s="10">
        <v>0</v>
      </c>
      <c r="F136" s="10">
        <v>3.85</v>
      </c>
      <c r="G136" s="41">
        <f t="shared" si="10"/>
        <v>0</v>
      </c>
    </row>
    <row r="137" spans="1:7" x14ac:dyDescent="0.25">
      <c r="A137" s="8" t="s">
        <v>260</v>
      </c>
      <c r="B137" s="9" t="s">
        <v>261</v>
      </c>
      <c r="C137" s="9"/>
      <c r="D137" s="38">
        <f t="shared" si="9"/>
        <v>5.5909090909090908</v>
      </c>
      <c r="E137" s="10">
        <v>0</v>
      </c>
      <c r="F137" s="10">
        <v>6.15</v>
      </c>
      <c r="G137" s="41">
        <f t="shared" si="10"/>
        <v>0</v>
      </c>
    </row>
    <row r="138" spans="1:7" x14ac:dyDescent="0.25">
      <c r="A138" s="8" t="s">
        <v>262</v>
      </c>
      <c r="B138" s="9" t="s">
        <v>263</v>
      </c>
      <c r="C138" s="9"/>
      <c r="D138" s="38">
        <f t="shared" si="9"/>
        <v>2.7272727272727271</v>
      </c>
      <c r="E138" s="10">
        <v>0</v>
      </c>
      <c r="F138" s="10">
        <v>3</v>
      </c>
      <c r="G138" s="41">
        <f t="shared" si="10"/>
        <v>0</v>
      </c>
    </row>
    <row r="139" spans="1:7" x14ac:dyDescent="0.25">
      <c r="A139" s="8" t="s">
        <v>264</v>
      </c>
      <c r="B139" s="9" t="s">
        <v>265</v>
      </c>
      <c r="C139" s="9"/>
      <c r="D139" s="38">
        <f t="shared" si="9"/>
        <v>3.5000000000000004</v>
      </c>
      <c r="E139" s="10">
        <v>0</v>
      </c>
      <c r="F139" s="10">
        <v>3.85</v>
      </c>
      <c r="G139" s="41">
        <f t="shared" si="10"/>
        <v>0</v>
      </c>
    </row>
    <row r="140" spans="1:7" x14ac:dyDescent="0.25">
      <c r="A140" s="8" t="s">
        <v>266</v>
      </c>
      <c r="B140" s="9" t="s">
        <v>267</v>
      </c>
      <c r="C140" s="9"/>
      <c r="D140" s="38">
        <f t="shared" si="9"/>
        <v>29.272727272727277</v>
      </c>
      <c r="E140" s="10">
        <v>0</v>
      </c>
      <c r="F140" s="10">
        <v>32.200000000000003</v>
      </c>
      <c r="G140" s="41">
        <f t="shared" si="10"/>
        <v>0</v>
      </c>
    </row>
    <row r="141" spans="1:7" x14ac:dyDescent="0.25">
      <c r="A141" s="8" t="s">
        <v>268</v>
      </c>
      <c r="B141" s="9" t="s">
        <v>269</v>
      </c>
      <c r="C141" s="9"/>
      <c r="D141" s="38">
        <f t="shared" si="9"/>
        <v>4.2727272727272734</v>
      </c>
      <c r="E141" s="10">
        <v>0</v>
      </c>
      <c r="F141" s="10">
        <v>4.7</v>
      </c>
      <c r="G141" s="41">
        <f t="shared" si="10"/>
        <v>0</v>
      </c>
    </row>
    <row r="142" spans="1:7" x14ac:dyDescent="0.25">
      <c r="A142" s="8" t="s">
        <v>270</v>
      </c>
      <c r="B142" s="9" t="s">
        <v>271</v>
      </c>
      <c r="C142" s="9"/>
      <c r="D142" s="38">
        <f t="shared" si="9"/>
        <v>4.2727272727272734</v>
      </c>
      <c r="E142" s="10">
        <v>0</v>
      </c>
      <c r="F142" s="10">
        <v>4.7</v>
      </c>
      <c r="G142" s="41">
        <f t="shared" si="10"/>
        <v>0</v>
      </c>
    </row>
    <row r="143" spans="1:7" x14ac:dyDescent="0.25">
      <c r="A143" s="8" t="s">
        <v>272</v>
      </c>
      <c r="B143" s="9" t="s">
        <v>273</v>
      </c>
      <c r="C143" s="9"/>
      <c r="D143" s="38">
        <f t="shared" si="9"/>
        <v>4.2727272727272734</v>
      </c>
      <c r="E143" s="10">
        <v>2</v>
      </c>
      <c r="F143" s="10">
        <v>4.7</v>
      </c>
      <c r="G143" s="41">
        <f t="shared" si="10"/>
        <v>8.5454545454545467</v>
      </c>
    </row>
    <row r="144" spans="1:7" ht="15.75" thickBot="1" x14ac:dyDescent="0.3">
      <c r="A144" s="17" t="s">
        <v>274</v>
      </c>
      <c r="B144" s="18" t="s">
        <v>275</v>
      </c>
      <c r="C144" s="18"/>
      <c r="D144" s="46">
        <f t="shared" si="9"/>
        <v>4.454545454545455</v>
      </c>
      <c r="E144" s="19">
        <v>0</v>
      </c>
      <c r="F144" s="19">
        <v>4.9000000000000004</v>
      </c>
      <c r="G144" s="44">
        <f t="shared" si="10"/>
        <v>0</v>
      </c>
    </row>
    <row r="145" spans="1:7" ht="17.25" thickTop="1" thickBot="1" x14ac:dyDescent="0.3">
      <c r="A145" s="2"/>
      <c r="B145" s="3" t="s">
        <v>569</v>
      </c>
      <c r="C145" s="4"/>
      <c r="D145" s="47"/>
      <c r="E145" s="5"/>
      <c r="F145" s="35"/>
      <c r="G145" s="51"/>
    </row>
    <row r="146" spans="1:7" ht="15.75" thickTop="1" x14ac:dyDescent="0.25">
      <c r="A146" s="14" t="s">
        <v>297</v>
      </c>
      <c r="B146" s="15" t="s">
        <v>276</v>
      </c>
      <c r="C146" s="15" t="s">
        <v>277</v>
      </c>
      <c r="D146" s="45">
        <f t="shared" ref="D146:D157" si="11">F146/11*10</f>
        <v>119.22727272727273</v>
      </c>
      <c r="E146" s="16">
        <v>0</v>
      </c>
      <c r="F146" s="16">
        <v>131.15</v>
      </c>
      <c r="G146" s="43">
        <f t="shared" ref="G146:G157" si="12">D146*E146</f>
        <v>0</v>
      </c>
    </row>
    <row r="147" spans="1:7" x14ac:dyDescent="0.25">
      <c r="A147" s="8" t="s">
        <v>298</v>
      </c>
      <c r="B147" s="9" t="s">
        <v>278</v>
      </c>
      <c r="C147" s="9" t="s">
        <v>279</v>
      </c>
      <c r="D147" s="38">
        <f t="shared" si="11"/>
        <v>120.90909090909092</v>
      </c>
      <c r="E147" s="10">
        <v>0</v>
      </c>
      <c r="F147" s="10">
        <v>133</v>
      </c>
      <c r="G147" s="41">
        <f t="shared" si="12"/>
        <v>0</v>
      </c>
    </row>
    <row r="148" spans="1:7" x14ac:dyDescent="0.25">
      <c r="A148" s="8" t="s">
        <v>299</v>
      </c>
      <c r="B148" s="9" t="s">
        <v>280</v>
      </c>
      <c r="C148" s="9" t="s">
        <v>281</v>
      </c>
      <c r="D148" s="38">
        <f t="shared" si="11"/>
        <v>65.681818181818187</v>
      </c>
      <c r="E148" s="10">
        <v>0</v>
      </c>
      <c r="F148" s="10">
        <v>72.25</v>
      </c>
      <c r="G148" s="41">
        <f t="shared" si="12"/>
        <v>0</v>
      </c>
    </row>
    <row r="149" spans="1:7" x14ac:dyDescent="0.25">
      <c r="A149" s="8" t="s">
        <v>300</v>
      </c>
      <c r="B149" s="9" t="s">
        <v>282</v>
      </c>
      <c r="C149" s="9" t="s">
        <v>283</v>
      </c>
      <c r="D149" s="38">
        <f t="shared" si="11"/>
        <v>6.7272727272727275</v>
      </c>
      <c r="E149" s="10">
        <v>3</v>
      </c>
      <c r="F149" s="10">
        <v>7.4</v>
      </c>
      <c r="G149" s="41">
        <f t="shared" si="12"/>
        <v>20.181818181818183</v>
      </c>
    </row>
    <row r="150" spans="1:7" x14ac:dyDescent="0.25">
      <c r="A150" s="8" t="s">
        <v>301</v>
      </c>
      <c r="B150" s="9" t="s">
        <v>284</v>
      </c>
      <c r="C150" s="9" t="s">
        <v>285</v>
      </c>
      <c r="D150" s="38">
        <f t="shared" si="11"/>
        <v>126</v>
      </c>
      <c r="E150" s="10">
        <v>0</v>
      </c>
      <c r="F150" s="10">
        <v>138.6</v>
      </c>
      <c r="G150" s="41">
        <f t="shared" si="12"/>
        <v>0</v>
      </c>
    </row>
    <row r="151" spans="1:7" x14ac:dyDescent="0.25">
      <c r="A151" s="8" t="s">
        <v>302</v>
      </c>
      <c r="B151" s="9" t="s">
        <v>286</v>
      </c>
      <c r="C151" s="9" t="s">
        <v>287</v>
      </c>
      <c r="D151" s="38">
        <f t="shared" si="11"/>
        <v>122.27272727272727</v>
      </c>
      <c r="E151" s="10">
        <v>0</v>
      </c>
      <c r="F151" s="10">
        <v>134.5</v>
      </c>
      <c r="G151" s="41">
        <f t="shared" si="12"/>
        <v>0</v>
      </c>
    </row>
    <row r="152" spans="1:7" x14ac:dyDescent="0.25">
      <c r="A152" s="8" t="s">
        <v>303</v>
      </c>
      <c r="B152" s="9" t="s">
        <v>288</v>
      </c>
      <c r="C152" s="9" t="s">
        <v>279</v>
      </c>
      <c r="D152" s="38">
        <f t="shared" si="11"/>
        <v>12.5</v>
      </c>
      <c r="E152" s="10">
        <v>0</v>
      </c>
      <c r="F152" s="10">
        <v>13.75</v>
      </c>
      <c r="G152" s="41">
        <f t="shared" si="12"/>
        <v>0</v>
      </c>
    </row>
    <row r="153" spans="1:7" x14ac:dyDescent="0.25">
      <c r="A153" s="8" t="s">
        <v>304</v>
      </c>
      <c r="B153" s="9" t="s">
        <v>289</v>
      </c>
      <c r="C153" s="9" t="s">
        <v>290</v>
      </c>
      <c r="D153" s="38">
        <f t="shared" si="11"/>
        <v>9.2727272727272734</v>
      </c>
      <c r="E153" s="10">
        <v>0</v>
      </c>
      <c r="F153" s="10">
        <v>10.199999999999999</v>
      </c>
      <c r="G153" s="60">
        <f t="shared" si="12"/>
        <v>0</v>
      </c>
    </row>
    <row r="154" spans="1:7" x14ac:dyDescent="0.25">
      <c r="A154" s="8" t="s">
        <v>305</v>
      </c>
      <c r="B154" s="9" t="s">
        <v>291</v>
      </c>
      <c r="C154" s="9" t="s">
        <v>277</v>
      </c>
      <c r="D154" s="38">
        <f t="shared" si="11"/>
        <v>107.27272727272727</v>
      </c>
      <c r="E154" s="10">
        <v>0</v>
      </c>
      <c r="F154" s="10">
        <v>118</v>
      </c>
      <c r="G154" s="41">
        <f t="shared" si="12"/>
        <v>0</v>
      </c>
    </row>
    <row r="155" spans="1:7" x14ac:dyDescent="0.25">
      <c r="A155" s="8" t="s">
        <v>306</v>
      </c>
      <c r="B155" s="9" t="s">
        <v>292</v>
      </c>
      <c r="C155" s="9" t="s">
        <v>283</v>
      </c>
      <c r="D155" s="38">
        <f t="shared" si="11"/>
        <v>25.454545454545453</v>
      </c>
      <c r="E155" s="10">
        <v>0</v>
      </c>
      <c r="F155" s="10">
        <v>28</v>
      </c>
      <c r="G155" s="41">
        <f t="shared" si="12"/>
        <v>0</v>
      </c>
    </row>
    <row r="156" spans="1:7" x14ac:dyDescent="0.25">
      <c r="A156" s="8">
        <v>4111</v>
      </c>
      <c r="B156" s="9" t="s">
        <v>293</v>
      </c>
      <c r="C156" s="9" t="s">
        <v>294</v>
      </c>
      <c r="D156" s="38">
        <f t="shared" si="11"/>
        <v>53.772727272727266</v>
      </c>
      <c r="E156" s="10">
        <v>0</v>
      </c>
      <c r="F156" s="10">
        <v>59.15</v>
      </c>
      <c r="G156" s="41">
        <f t="shared" si="12"/>
        <v>0</v>
      </c>
    </row>
    <row r="157" spans="1:7" ht="15.75" thickBot="1" x14ac:dyDescent="0.3">
      <c r="A157" s="17">
        <v>4112</v>
      </c>
      <c r="B157" s="27" t="s">
        <v>295</v>
      </c>
      <c r="C157" s="18" t="s">
        <v>296</v>
      </c>
      <c r="D157" s="46">
        <f t="shared" si="11"/>
        <v>73.636363636363626</v>
      </c>
      <c r="E157" s="19">
        <v>0</v>
      </c>
      <c r="F157" s="19">
        <v>81</v>
      </c>
      <c r="G157" s="44">
        <f t="shared" si="12"/>
        <v>0</v>
      </c>
    </row>
    <row r="158" spans="1:7" ht="17.25" thickTop="1" thickBot="1" x14ac:dyDescent="0.3">
      <c r="A158" s="2"/>
      <c r="B158" s="3" t="s">
        <v>570</v>
      </c>
      <c r="C158" s="4"/>
      <c r="D158" s="47"/>
      <c r="E158" s="5"/>
      <c r="F158" s="35"/>
      <c r="G158" s="51"/>
    </row>
    <row r="159" spans="1:7" ht="15.75" thickTop="1" x14ac:dyDescent="0.25">
      <c r="A159" s="8" t="s">
        <v>307</v>
      </c>
      <c r="B159" s="15" t="s">
        <v>308</v>
      </c>
      <c r="C159" s="15" t="s">
        <v>309</v>
      </c>
      <c r="D159" s="45">
        <f t="shared" ref="D159:D220" si="13">F159/11*10</f>
        <v>345</v>
      </c>
      <c r="E159" s="16">
        <v>0</v>
      </c>
      <c r="F159" s="16">
        <v>379.5</v>
      </c>
      <c r="G159" s="43">
        <f t="shared" ref="G159:G192" si="14">D159*E159</f>
        <v>0</v>
      </c>
    </row>
    <row r="160" spans="1:7" x14ac:dyDescent="0.25">
      <c r="A160" s="8" t="s">
        <v>311</v>
      </c>
      <c r="B160" s="9" t="s">
        <v>310</v>
      </c>
      <c r="C160" s="9" t="s">
        <v>296</v>
      </c>
      <c r="D160" s="38">
        <f t="shared" si="13"/>
        <v>52.727272727272727</v>
      </c>
      <c r="E160" s="10">
        <v>0</v>
      </c>
      <c r="F160" s="10">
        <v>58</v>
      </c>
      <c r="G160" s="41">
        <f t="shared" si="14"/>
        <v>0</v>
      </c>
    </row>
    <row r="161" spans="1:8" x14ac:dyDescent="0.25">
      <c r="A161" s="8" t="s">
        <v>314</v>
      </c>
      <c r="B161" s="9" t="s">
        <v>312</v>
      </c>
      <c r="C161" s="9" t="s">
        <v>313</v>
      </c>
      <c r="D161" s="38">
        <f t="shared" si="13"/>
        <v>4.545454545454545</v>
      </c>
      <c r="E161" s="10">
        <v>0</v>
      </c>
      <c r="F161" s="10">
        <v>5</v>
      </c>
      <c r="G161" s="41">
        <f t="shared" si="14"/>
        <v>0</v>
      </c>
    </row>
    <row r="162" spans="1:8" ht="25.5" x14ac:dyDescent="0.25">
      <c r="A162" s="8" t="s">
        <v>317</v>
      </c>
      <c r="B162" s="9" t="s">
        <v>315</v>
      </c>
      <c r="C162" s="9" t="s">
        <v>316</v>
      </c>
      <c r="D162" s="38">
        <f t="shared" si="13"/>
        <v>65</v>
      </c>
      <c r="E162" s="10">
        <v>0</v>
      </c>
      <c r="F162" s="10">
        <v>71.5</v>
      </c>
      <c r="G162" s="41">
        <f t="shared" si="14"/>
        <v>0</v>
      </c>
      <c r="H162">
        <f>E163*F163</f>
        <v>0</v>
      </c>
    </row>
    <row r="163" spans="1:8" x14ac:dyDescent="0.25">
      <c r="A163" s="8" t="s">
        <v>318</v>
      </c>
      <c r="B163" s="9"/>
      <c r="C163" s="9"/>
      <c r="D163" s="38">
        <f t="shared" si="13"/>
        <v>0</v>
      </c>
      <c r="E163" s="10"/>
      <c r="F163" s="10"/>
      <c r="G163" s="41">
        <f t="shared" si="14"/>
        <v>0</v>
      </c>
    </row>
    <row r="164" spans="1:8" x14ac:dyDescent="0.25">
      <c r="A164" s="8" t="s">
        <v>320</v>
      </c>
      <c r="B164" s="9" t="s">
        <v>319</v>
      </c>
      <c r="C164" s="9" t="s">
        <v>296</v>
      </c>
      <c r="D164" s="38">
        <f t="shared" si="13"/>
        <v>67.22727272727272</v>
      </c>
      <c r="E164" s="10">
        <v>4</v>
      </c>
      <c r="F164" s="10">
        <v>73.95</v>
      </c>
      <c r="G164" s="41">
        <f t="shared" si="14"/>
        <v>268.90909090909088</v>
      </c>
    </row>
    <row r="165" spans="1:8" x14ac:dyDescent="0.25">
      <c r="A165" s="8" t="s">
        <v>322</v>
      </c>
      <c r="B165" s="9" t="s">
        <v>321</v>
      </c>
      <c r="C165" s="9" t="s">
        <v>285</v>
      </c>
      <c r="D165" s="38">
        <f t="shared" si="13"/>
        <v>183.63636363636363</v>
      </c>
      <c r="E165" s="10">
        <v>0</v>
      </c>
      <c r="F165" s="25">
        <v>202</v>
      </c>
      <c r="G165" s="53">
        <f t="shared" si="14"/>
        <v>0</v>
      </c>
    </row>
    <row r="166" spans="1:8" x14ac:dyDescent="0.25">
      <c r="A166" s="8" t="s">
        <v>324</v>
      </c>
      <c r="B166" s="9" t="s">
        <v>323</v>
      </c>
      <c r="C166" s="9" t="s">
        <v>296</v>
      </c>
      <c r="D166" s="38">
        <f t="shared" si="13"/>
        <v>50.545454545454547</v>
      </c>
      <c r="E166" s="10">
        <v>0</v>
      </c>
      <c r="F166" s="10">
        <v>55.6</v>
      </c>
      <c r="G166" s="41">
        <f t="shared" si="14"/>
        <v>0</v>
      </c>
    </row>
    <row r="167" spans="1:8" x14ac:dyDescent="0.25">
      <c r="A167" s="8" t="s">
        <v>326</v>
      </c>
      <c r="B167" s="9" t="s">
        <v>325</v>
      </c>
      <c r="C167" s="9" t="s">
        <v>296</v>
      </c>
      <c r="D167" s="38">
        <f t="shared" si="13"/>
        <v>63.636363636363633</v>
      </c>
      <c r="E167" s="10">
        <v>0</v>
      </c>
      <c r="F167" s="10">
        <v>70</v>
      </c>
      <c r="G167" s="41">
        <f t="shared" si="14"/>
        <v>0</v>
      </c>
    </row>
    <row r="168" spans="1:8" x14ac:dyDescent="0.25">
      <c r="A168" s="8" t="s">
        <v>328</v>
      </c>
      <c r="B168" s="9" t="s">
        <v>327</v>
      </c>
      <c r="C168" s="9" t="s">
        <v>296</v>
      </c>
      <c r="D168" s="38">
        <f t="shared" si="13"/>
        <v>45.45454545454546</v>
      </c>
      <c r="E168" s="10">
        <v>0</v>
      </c>
      <c r="F168" s="10">
        <v>50</v>
      </c>
      <c r="G168" s="41">
        <f t="shared" si="14"/>
        <v>0</v>
      </c>
    </row>
    <row r="169" spans="1:8" x14ac:dyDescent="0.25">
      <c r="A169" s="8" t="s">
        <v>330</v>
      </c>
      <c r="B169" s="9" t="s">
        <v>329</v>
      </c>
      <c r="C169" s="9" t="s">
        <v>296</v>
      </c>
      <c r="D169" s="38">
        <f t="shared" si="13"/>
        <v>52.36363636363636</v>
      </c>
      <c r="E169" s="10">
        <v>0</v>
      </c>
      <c r="F169" s="10">
        <v>57.6</v>
      </c>
      <c r="G169" s="41">
        <f t="shared" si="14"/>
        <v>0</v>
      </c>
    </row>
    <row r="170" spans="1:8" x14ac:dyDescent="0.25">
      <c r="A170" s="8" t="s">
        <v>332</v>
      </c>
      <c r="B170" s="9" t="s">
        <v>331</v>
      </c>
      <c r="C170" s="9" t="s">
        <v>296</v>
      </c>
      <c r="D170" s="38">
        <f t="shared" si="13"/>
        <v>81</v>
      </c>
      <c r="E170" s="10">
        <v>0</v>
      </c>
      <c r="F170" s="10">
        <v>89.1</v>
      </c>
      <c r="G170" s="41">
        <f t="shared" si="14"/>
        <v>0</v>
      </c>
    </row>
    <row r="171" spans="1:8" ht="25.5" x14ac:dyDescent="0.25">
      <c r="A171" s="8" t="s">
        <v>334</v>
      </c>
      <c r="B171" s="9" t="s">
        <v>333</v>
      </c>
      <c r="C171" s="9" t="s">
        <v>296</v>
      </c>
      <c r="D171" s="38">
        <f t="shared" si="13"/>
        <v>83.5</v>
      </c>
      <c r="E171" s="10">
        <v>0</v>
      </c>
      <c r="F171" s="10">
        <v>91.85</v>
      </c>
      <c r="G171" s="41">
        <f t="shared" si="14"/>
        <v>0</v>
      </c>
    </row>
    <row r="172" spans="1:8" x14ac:dyDescent="0.25">
      <c r="A172" s="8" t="s">
        <v>335</v>
      </c>
      <c r="B172" s="9"/>
      <c r="C172" s="9" t="s">
        <v>296</v>
      </c>
      <c r="D172" s="38">
        <f t="shared" si="13"/>
        <v>0</v>
      </c>
      <c r="E172" s="10"/>
      <c r="F172" s="10"/>
      <c r="G172" s="41">
        <f t="shared" si="14"/>
        <v>0</v>
      </c>
    </row>
    <row r="173" spans="1:8" x14ac:dyDescent="0.25">
      <c r="A173" s="8" t="s">
        <v>337</v>
      </c>
      <c r="B173" s="9" t="s">
        <v>336</v>
      </c>
      <c r="C173" s="9" t="s">
        <v>296</v>
      </c>
      <c r="D173" s="38">
        <f t="shared" si="13"/>
        <v>99.590909090909093</v>
      </c>
      <c r="E173" s="10">
        <v>0</v>
      </c>
      <c r="F173" s="10">
        <v>109.55</v>
      </c>
      <c r="G173" s="41">
        <f t="shared" si="14"/>
        <v>0</v>
      </c>
    </row>
    <row r="174" spans="1:8" ht="25.5" x14ac:dyDescent="0.25">
      <c r="A174" s="8" t="s">
        <v>339</v>
      </c>
      <c r="B174" s="9" t="s">
        <v>336</v>
      </c>
      <c r="C174" s="9" t="s">
        <v>338</v>
      </c>
      <c r="D174" s="38">
        <f t="shared" si="13"/>
        <v>7.0000000000000009</v>
      </c>
      <c r="E174" s="10">
        <v>0</v>
      </c>
      <c r="F174" s="10">
        <v>7.7</v>
      </c>
      <c r="G174" s="41">
        <f t="shared" si="14"/>
        <v>0</v>
      </c>
    </row>
    <row r="175" spans="1:8" x14ac:dyDescent="0.25">
      <c r="A175" s="8">
        <v>4218</v>
      </c>
      <c r="B175" s="9" t="s">
        <v>695</v>
      </c>
      <c r="C175" s="9" t="s">
        <v>696</v>
      </c>
      <c r="D175" s="38">
        <v>7.73</v>
      </c>
      <c r="E175" s="10">
        <v>12</v>
      </c>
      <c r="F175" s="10">
        <v>8.5</v>
      </c>
      <c r="G175" s="41">
        <v>102</v>
      </c>
    </row>
    <row r="176" spans="1:8" x14ac:dyDescent="0.25">
      <c r="A176" s="8">
        <v>4218</v>
      </c>
      <c r="B176" s="9" t="s">
        <v>695</v>
      </c>
      <c r="C176" s="9" t="s">
        <v>697</v>
      </c>
      <c r="D176" s="38">
        <v>70.3</v>
      </c>
      <c r="E176" s="10">
        <v>1</v>
      </c>
      <c r="F176" s="10">
        <v>77.349999999999994</v>
      </c>
      <c r="G176" s="41">
        <v>77.349999999999994</v>
      </c>
    </row>
    <row r="177" spans="1:7" x14ac:dyDescent="0.25">
      <c r="A177" s="8" t="s">
        <v>341</v>
      </c>
      <c r="B177" s="9" t="s">
        <v>340</v>
      </c>
      <c r="C177" s="9" t="s">
        <v>283</v>
      </c>
      <c r="D177" s="38">
        <f t="shared" si="13"/>
        <v>4.545454545454545</v>
      </c>
      <c r="E177" s="10">
        <v>3</v>
      </c>
      <c r="F177" s="10">
        <v>5</v>
      </c>
      <c r="G177" s="41">
        <f t="shared" si="14"/>
        <v>13.636363636363635</v>
      </c>
    </row>
    <row r="178" spans="1:7" x14ac:dyDescent="0.25">
      <c r="A178" s="8" t="s">
        <v>343</v>
      </c>
      <c r="B178" s="9" t="s">
        <v>342</v>
      </c>
      <c r="C178" s="9" t="s">
        <v>296</v>
      </c>
      <c r="D178" s="38">
        <f t="shared" si="13"/>
        <v>100.40909090909091</v>
      </c>
      <c r="E178" s="10">
        <v>0</v>
      </c>
      <c r="F178" s="10">
        <v>110.45</v>
      </c>
      <c r="G178" s="41">
        <f t="shared" si="14"/>
        <v>0</v>
      </c>
    </row>
    <row r="179" spans="1:7" x14ac:dyDescent="0.25">
      <c r="A179" s="8" t="s">
        <v>344</v>
      </c>
      <c r="B179" s="9"/>
      <c r="C179" s="9"/>
      <c r="D179" s="38">
        <f t="shared" si="13"/>
        <v>0</v>
      </c>
      <c r="E179" s="10"/>
      <c r="F179" s="10"/>
      <c r="G179" s="41">
        <f t="shared" si="14"/>
        <v>0</v>
      </c>
    </row>
    <row r="180" spans="1:7" x14ac:dyDescent="0.25">
      <c r="A180" s="8" t="s">
        <v>346</v>
      </c>
      <c r="B180" s="9" t="s">
        <v>345</v>
      </c>
      <c r="C180" s="9" t="s">
        <v>296</v>
      </c>
      <c r="D180" s="38">
        <f t="shared" si="13"/>
        <v>65.863636363636374</v>
      </c>
      <c r="E180" s="10">
        <v>0</v>
      </c>
      <c r="F180" s="10">
        <v>72.45</v>
      </c>
      <c r="G180" s="41">
        <f t="shared" si="14"/>
        <v>0</v>
      </c>
    </row>
    <row r="181" spans="1:7" x14ac:dyDescent="0.25">
      <c r="A181" s="8" t="s">
        <v>348</v>
      </c>
      <c r="B181" s="9" t="s">
        <v>347</v>
      </c>
      <c r="C181" s="9" t="s">
        <v>296</v>
      </c>
      <c r="D181" s="38">
        <f t="shared" si="13"/>
        <v>43.363636363636367</v>
      </c>
      <c r="E181" s="10">
        <v>0</v>
      </c>
      <c r="F181" s="10">
        <v>47.7</v>
      </c>
      <c r="G181" s="41">
        <f t="shared" si="14"/>
        <v>0</v>
      </c>
    </row>
    <row r="182" spans="1:7" x14ac:dyDescent="0.25">
      <c r="A182" s="8" t="s">
        <v>350</v>
      </c>
      <c r="B182" s="9" t="s">
        <v>349</v>
      </c>
      <c r="C182" s="9" t="s">
        <v>296</v>
      </c>
      <c r="D182" s="38">
        <f t="shared" si="13"/>
        <v>97.999999999999986</v>
      </c>
      <c r="E182" s="10">
        <v>0</v>
      </c>
      <c r="F182" s="10">
        <v>107.8</v>
      </c>
      <c r="G182" s="41">
        <f t="shared" si="14"/>
        <v>0</v>
      </c>
    </row>
    <row r="183" spans="1:7" x14ac:dyDescent="0.25">
      <c r="A183" s="8" t="s">
        <v>353</v>
      </c>
      <c r="B183" s="9" t="s">
        <v>351</v>
      </c>
      <c r="C183" s="9" t="s">
        <v>352</v>
      </c>
      <c r="D183" s="38">
        <f t="shared" si="13"/>
        <v>15</v>
      </c>
      <c r="E183" s="10">
        <v>0</v>
      </c>
      <c r="F183" s="10">
        <v>16.5</v>
      </c>
      <c r="G183" s="41">
        <f t="shared" si="14"/>
        <v>0</v>
      </c>
    </row>
    <row r="184" spans="1:7" x14ac:dyDescent="0.25">
      <c r="A184" s="8" t="s">
        <v>355</v>
      </c>
      <c r="B184" s="9" t="s">
        <v>354</v>
      </c>
      <c r="C184" s="9" t="s">
        <v>296</v>
      </c>
      <c r="D184" s="38">
        <f t="shared" si="13"/>
        <v>98.181818181818187</v>
      </c>
      <c r="E184" s="10">
        <v>0</v>
      </c>
      <c r="F184" s="10">
        <v>108</v>
      </c>
      <c r="G184" s="41">
        <f t="shared" si="14"/>
        <v>0</v>
      </c>
    </row>
    <row r="185" spans="1:7" x14ac:dyDescent="0.25">
      <c r="A185" s="8" t="s">
        <v>358</v>
      </c>
      <c r="B185" s="9" t="s">
        <v>356</v>
      </c>
      <c r="C185" s="9" t="s">
        <v>357</v>
      </c>
      <c r="D185" s="38">
        <f t="shared" si="13"/>
        <v>12.727272727272727</v>
      </c>
      <c r="E185" s="10">
        <v>0</v>
      </c>
      <c r="F185" s="10">
        <v>14</v>
      </c>
      <c r="G185" s="41">
        <f t="shared" si="14"/>
        <v>0</v>
      </c>
    </row>
    <row r="186" spans="1:7" x14ac:dyDescent="0.25">
      <c r="A186" s="8" t="s">
        <v>360</v>
      </c>
      <c r="B186" s="9" t="s">
        <v>359</v>
      </c>
      <c r="C186" s="9" t="s">
        <v>296</v>
      </c>
      <c r="D186" s="38">
        <f t="shared" si="13"/>
        <v>110</v>
      </c>
      <c r="E186" s="10">
        <v>0</v>
      </c>
      <c r="F186" s="10">
        <v>121</v>
      </c>
      <c r="G186" s="41">
        <f t="shared" si="14"/>
        <v>0</v>
      </c>
    </row>
    <row r="187" spans="1:7" x14ac:dyDescent="0.25">
      <c r="A187" s="8" t="s">
        <v>363</v>
      </c>
      <c r="B187" s="9" t="s">
        <v>361</v>
      </c>
      <c r="C187" s="9" t="s">
        <v>362</v>
      </c>
      <c r="D187" s="38">
        <f t="shared" si="13"/>
        <v>20.909090909090907</v>
      </c>
      <c r="E187" s="10">
        <v>0</v>
      </c>
      <c r="F187" s="10">
        <v>23</v>
      </c>
      <c r="G187" s="41">
        <f t="shared" si="14"/>
        <v>0</v>
      </c>
    </row>
    <row r="188" spans="1:7" x14ac:dyDescent="0.25">
      <c r="A188" s="8" t="s">
        <v>364</v>
      </c>
      <c r="B188" s="9" t="s">
        <v>583</v>
      </c>
      <c r="C188" s="9" t="s">
        <v>296</v>
      </c>
      <c r="D188" s="38">
        <f t="shared" si="13"/>
        <v>47.36363636363636</v>
      </c>
      <c r="E188" s="10">
        <v>2</v>
      </c>
      <c r="F188" s="10">
        <v>52.1</v>
      </c>
      <c r="G188" s="41">
        <f t="shared" si="14"/>
        <v>94.72727272727272</v>
      </c>
    </row>
    <row r="189" spans="1:7" x14ac:dyDescent="0.25">
      <c r="A189" s="8" t="s">
        <v>366</v>
      </c>
      <c r="B189" s="9" t="s">
        <v>365</v>
      </c>
      <c r="C189" s="9" t="s">
        <v>296</v>
      </c>
      <c r="D189" s="38">
        <f t="shared" si="13"/>
        <v>145</v>
      </c>
      <c r="E189" s="10">
        <v>0</v>
      </c>
      <c r="F189" s="10">
        <v>159.5</v>
      </c>
      <c r="G189" s="41">
        <f t="shared" si="14"/>
        <v>0</v>
      </c>
    </row>
    <row r="190" spans="1:7" x14ac:dyDescent="0.25">
      <c r="A190" s="8" t="s">
        <v>367</v>
      </c>
      <c r="B190" s="9"/>
      <c r="C190" s="9"/>
      <c r="D190" s="38">
        <f t="shared" si="13"/>
        <v>0</v>
      </c>
      <c r="E190" s="10"/>
      <c r="F190" s="10"/>
      <c r="G190" s="41">
        <f t="shared" si="14"/>
        <v>0</v>
      </c>
    </row>
    <row r="191" spans="1:7" ht="25.5" x14ac:dyDescent="0.25">
      <c r="A191" s="8" t="s">
        <v>659</v>
      </c>
      <c r="B191" s="9" t="s">
        <v>368</v>
      </c>
      <c r="C191" s="9" t="s">
        <v>369</v>
      </c>
      <c r="D191" s="38">
        <f t="shared" si="13"/>
        <v>87.999999999999986</v>
      </c>
      <c r="E191" s="10">
        <v>0</v>
      </c>
      <c r="F191" s="10">
        <v>96.8</v>
      </c>
      <c r="G191" s="41">
        <f t="shared" si="14"/>
        <v>0</v>
      </c>
    </row>
    <row r="192" spans="1:7" ht="25.5" x14ac:dyDescent="0.25">
      <c r="A192" s="8" t="s">
        <v>660</v>
      </c>
      <c r="B192" s="9" t="s">
        <v>370</v>
      </c>
      <c r="C192" s="9" t="s">
        <v>369</v>
      </c>
      <c r="D192" s="38">
        <f t="shared" si="13"/>
        <v>54.54545454545454</v>
      </c>
      <c r="E192" s="10">
        <v>1</v>
      </c>
      <c r="F192" s="10">
        <v>60</v>
      </c>
      <c r="G192" s="41">
        <f t="shared" si="14"/>
        <v>54.54545454545454</v>
      </c>
    </row>
    <row r="193" spans="1:7" x14ac:dyDescent="0.25">
      <c r="A193" s="8" t="s">
        <v>661</v>
      </c>
      <c r="B193" s="9" t="s">
        <v>371</v>
      </c>
      <c r="C193" s="9" t="s">
        <v>296</v>
      </c>
      <c r="D193" s="38">
        <f t="shared" si="13"/>
        <v>87.909090909090907</v>
      </c>
      <c r="E193" s="10">
        <v>1</v>
      </c>
      <c r="F193" s="10">
        <v>96.7</v>
      </c>
      <c r="G193" s="41">
        <f t="shared" ref="G193:G220" si="15">D193*E193</f>
        <v>87.909090909090907</v>
      </c>
    </row>
    <row r="194" spans="1:7" x14ac:dyDescent="0.25">
      <c r="A194" s="8" t="s">
        <v>662</v>
      </c>
      <c r="B194" s="9" t="s">
        <v>372</v>
      </c>
      <c r="C194" s="9" t="s">
        <v>373</v>
      </c>
      <c r="D194" s="38">
        <f t="shared" si="13"/>
        <v>111</v>
      </c>
      <c r="E194" s="10">
        <v>0</v>
      </c>
      <c r="F194" s="10">
        <v>122.1</v>
      </c>
      <c r="G194" s="41">
        <f t="shared" si="15"/>
        <v>0</v>
      </c>
    </row>
    <row r="195" spans="1:7" x14ac:dyDescent="0.25">
      <c r="A195" s="8" t="s">
        <v>663</v>
      </c>
      <c r="B195" s="9" t="s">
        <v>374</v>
      </c>
      <c r="C195" s="9" t="s">
        <v>285</v>
      </c>
      <c r="D195" s="38">
        <f t="shared" si="13"/>
        <v>127</v>
      </c>
      <c r="E195" s="10">
        <v>0</v>
      </c>
      <c r="F195" s="10">
        <v>139.69999999999999</v>
      </c>
      <c r="G195" s="41">
        <f t="shared" si="15"/>
        <v>0</v>
      </c>
    </row>
    <row r="196" spans="1:7" x14ac:dyDescent="0.25">
      <c r="A196" s="8" t="s">
        <v>664</v>
      </c>
      <c r="B196" s="9" t="s">
        <v>375</v>
      </c>
      <c r="C196" s="9" t="s">
        <v>296</v>
      </c>
      <c r="D196" s="38">
        <f t="shared" si="13"/>
        <v>93.181818181818187</v>
      </c>
      <c r="E196" s="10">
        <v>0</v>
      </c>
      <c r="F196" s="10">
        <v>102.5</v>
      </c>
      <c r="G196" s="41">
        <f t="shared" si="15"/>
        <v>0</v>
      </c>
    </row>
    <row r="197" spans="1:7" x14ac:dyDescent="0.25">
      <c r="A197" s="8" t="s">
        <v>665</v>
      </c>
      <c r="B197" s="9"/>
      <c r="C197" s="9"/>
      <c r="D197" s="38">
        <f t="shared" si="13"/>
        <v>0</v>
      </c>
      <c r="E197" s="10"/>
      <c r="F197" s="10"/>
      <c r="G197" s="41">
        <f t="shared" si="15"/>
        <v>0</v>
      </c>
    </row>
    <row r="198" spans="1:7" x14ac:dyDescent="0.25">
      <c r="A198" s="8" t="s">
        <v>666</v>
      </c>
      <c r="B198" s="9" t="s">
        <v>376</v>
      </c>
      <c r="C198" s="9" t="s">
        <v>296</v>
      </c>
      <c r="D198" s="38">
        <f t="shared" si="13"/>
        <v>41.000000000000007</v>
      </c>
      <c r="E198" s="10">
        <v>0</v>
      </c>
      <c r="F198" s="10">
        <v>45.1</v>
      </c>
      <c r="G198" s="41">
        <f t="shared" si="15"/>
        <v>0</v>
      </c>
    </row>
    <row r="199" spans="1:7" x14ac:dyDescent="0.25">
      <c r="A199" s="8" t="s">
        <v>667</v>
      </c>
      <c r="B199" s="9" t="s">
        <v>377</v>
      </c>
      <c r="C199" s="9" t="s">
        <v>296</v>
      </c>
      <c r="D199" s="38">
        <f t="shared" si="13"/>
        <v>81.5</v>
      </c>
      <c r="E199" s="10">
        <v>0</v>
      </c>
      <c r="F199" s="10">
        <v>89.65</v>
      </c>
      <c r="G199" s="41">
        <f t="shared" si="15"/>
        <v>0</v>
      </c>
    </row>
    <row r="200" spans="1:7" x14ac:dyDescent="0.25">
      <c r="A200" s="8" t="s">
        <v>668</v>
      </c>
      <c r="B200" s="9" t="s">
        <v>378</v>
      </c>
      <c r="C200" s="9" t="s">
        <v>283</v>
      </c>
      <c r="D200" s="38">
        <f t="shared" si="13"/>
        <v>8.454545454545455</v>
      </c>
      <c r="E200" s="10">
        <v>0</v>
      </c>
      <c r="F200" s="10">
        <v>9.3000000000000007</v>
      </c>
      <c r="G200" s="41">
        <f t="shared" si="15"/>
        <v>0</v>
      </c>
    </row>
    <row r="201" spans="1:7" ht="25.5" x14ac:dyDescent="0.25">
      <c r="A201" s="8" t="s">
        <v>669</v>
      </c>
      <c r="B201" s="9" t="s">
        <v>379</v>
      </c>
      <c r="C201" s="9" t="s">
        <v>296</v>
      </c>
      <c r="D201" s="38">
        <f t="shared" si="13"/>
        <v>70</v>
      </c>
      <c r="E201" s="10">
        <v>0</v>
      </c>
      <c r="F201" s="10">
        <v>77</v>
      </c>
      <c r="G201" s="41">
        <f t="shared" si="15"/>
        <v>0</v>
      </c>
    </row>
    <row r="202" spans="1:7" x14ac:dyDescent="0.25">
      <c r="A202" s="8" t="s">
        <v>670</v>
      </c>
      <c r="B202" s="9"/>
      <c r="C202" s="9"/>
      <c r="D202" s="38">
        <f t="shared" si="13"/>
        <v>0</v>
      </c>
      <c r="E202" s="10"/>
      <c r="F202" s="10"/>
      <c r="G202" s="41">
        <f t="shared" si="15"/>
        <v>0</v>
      </c>
    </row>
    <row r="203" spans="1:7" x14ac:dyDescent="0.25">
      <c r="A203" s="8" t="s">
        <v>671</v>
      </c>
      <c r="B203" s="9" t="s">
        <v>380</v>
      </c>
      <c r="C203" s="9" t="s">
        <v>296</v>
      </c>
      <c r="D203" s="38">
        <f t="shared" si="13"/>
        <v>0</v>
      </c>
      <c r="E203" s="10">
        <v>0</v>
      </c>
      <c r="F203" s="10"/>
      <c r="G203" s="41">
        <f t="shared" si="15"/>
        <v>0</v>
      </c>
    </row>
    <row r="204" spans="1:7" x14ac:dyDescent="0.25">
      <c r="A204" s="8" t="s">
        <v>672</v>
      </c>
      <c r="B204" s="9" t="s">
        <v>381</v>
      </c>
      <c r="C204" s="9" t="s">
        <v>296</v>
      </c>
      <c r="D204" s="38">
        <f t="shared" si="13"/>
        <v>97.63636363636364</v>
      </c>
      <c r="E204" s="10">
        <v>0</v>
      </c>
      <c r="F204" s="10">
        <v>107.4</v>
      </c>
      <c r="G204" s="41">
        <f t="shared" si="15"/>
        <v>0</v>
      </c>
    </row>
    <row r="205" spans="1:7" x14ac:dyDescent="0.25">
      <c r="A205" s="8" t="s">
        <v>673</v>
      </c>
      <c r="B205" s="9" t="s">
        <v>382</v>
      </c>
      <c r="C205" s="9" t="s">
        <v>383</v>
      </c>
      <c r="D205" s="38">
        <f t="shared" si="13"/>
        <v>62.590909090909086</v>
      </c>
      <c r="E205" s="10">
        <v>0</v>
      </c>
      <c r="F205" s="10">
        <v>68.849999999999994</v>
      </c>
      <c r="G205" s="41">
        <f t="shared" si="15"/>
        <v>0</v>
      </c>
    </row>
    <row r="206" spans="1:7" x14ac:dyDescent="0.25">
      <c r="A206" s="8" t="s">
        <v>674</v>
      </c>
      <c r="B206" s="9" t="s">
        <v>384</v>
      </c>
      <c r="C206" s="9"/>
      <c r="D206" s="38">
        <f t="shared" si="13"/>
        <v>84</v>
      </c>
      <c r="E206" s="10">
        <v>0</v>
      </c>
      <c r="F206" s="10">
        <v>92.4</v>
      </c>
      <c r="G206" s="41">
        <f t="shared" si="15"/>
        <v>0</v>
      </c>
    </row>
    <row r="207" spans="1:7" x14ac:dyDescent="0.25">
      <c r="A207" s="8" t="s">
        <v>675</v>
      </c>
      <c r="B207" s="9" t="s">
        <v>385</v>
      </c>
      <c r="C207" s="9"/>
      <c r="D207" s="38">
        <f t="shared" si="13"/>
        <v>77.27272727272728</v>
      </c>
      <c r="E207" s="10">
        <v>0</v>
      </c>
      <c r="F207" s="10">
        <v>85</v>
      </c>
      <c r="G207" s="41">
        <f t="shared" si="15"/>
        <v>0</v>
      </c>
    </row>
    <row r="208" spans="1:7" x14ac:dyDescent="0.25">
      <c r="A208" s="8" t="s">
        <v>676</v>
      </c>
      <c r="B208" s="9"/>
      <c r="C208" s="9" t="s">
        <v>386</v>
      </c>
      <c r="D208" s="38">
        <f t="shared" si="13"/>
        <v>0</v>
      </c>
      <c r="E208" s="10"/>
      <c r="F208" s="10"/>
      <c r="G208" s="41">
        <f t="shared" si="15"/>
        <v>0</v>
      </c>
    </row>
    <row r="209" spans="1:7" x14ac:dyDescent="0.25">
      <c r="A209" s="8" t="s">
        <v>677</v>
      </c>
      <c r="B209" s="9"/>
      <c r="C209" s="9"/>
      <c r="D209" s="38">
        <f t="shared" si="13"/>
        <v>0</v>
      </c>
      <c r="E209" s="10"/>
      <c r="F209" s="10"/>
      <c r="G209" s="41">
        <f t="shared" si="15"/>
        <v>0</v>
      </c>
    </row>
    <row r="210" spans="1:7" x14ac:dyDescent="0.25">
      <c r="A210" s="8" t="s">
        <v>678</v>
      </c>
      <c r="B210" s="9" t="s">
        <v>387</v>
      </c>
      <c r="C210" s="9"/>
      <c r="D210" s="38">
        <f t="shared" si="13"/>
        <v>87.999999999999986</v>
      </c>
      <c r="E210" s="10">
        <v>0</v>
      </c>
      <c r="F210" s="10">
        <v>96.8</v>
      </c>
      <c r="G210" s="41">
        <f t="shared" si="15"/>
        <v>0</v>
      </c>
    </row>
    <row r="211" spans="1:7" x14ac:dyDescent="0.25">
      <c r="A211" s="8" t="s">
        <v>679</v>
      </c>
      <c r="B211" s="9" t="s">
        <v>388</v>
      </c>
      <c r="C211" s="9" t="s">
        <v>296</v>
      </c>
      <c r="D211" s="38">
        <f t="shared" si="13"/>
        <v>75</v>
      </c>
      <c r="E211" s="10">
        <v>0</v>
      </c>
      <c r="F211" s="10">
        <v>82.5</v>
      </c>
      <c r="G211" s="41">
        <f t="shared" si="15"/>
        <v>0</v>
      </c>
    </row>
    <row r="212" spans="1:7" x14ac:dyDescent="0.25">
      <c r="A212" s="8" t="s">
        <v>680</v>
      </c>
      <c r="B212" s="9" t="s">
        <v>389</v>
      </c>
      <c r="C212" s="9" t="s">
        <v>296</v>
      </c>
      <c r="D212" s="38">
        <f t="shared" si="13"/>
        <v>81.181818181818173</v>
      </c>
      <c r="E212" s="10">
        <v>1</v>
      </c>
      <c r="F212" s="10">
        <v>89.3</v>
      </c>
      <c r="G212" s="41">
        <f t="shared" si="15"/>
        <v>81.181818181818173</v>
      </c>
    </row>
    <row r="213" spans="1:7" x14ac:dyDescent="0.25">
      <c r="A213" s="8" t="s">
        <v>681</v>
      </c>
      <c r="B213" s="9"/>
      <c r="C213" s="9"/>
      <c r="D213" s="38">
        <f t="shared" si="13"/>
        <v>0</v>
      </c>
      <c r="E213" s="10"/>
      <c r="F213" s="10"/>
      <c r="G213" s="41">
        <f t="shared" si="15"/>
        <v>0</v>
      </c>
    </row>
    <row r="214" spans="1:7" x14ac:dyDescent="0.25">
      <c r="A214" s="8" t="s">
        <v>682</v>
      </c>
      <c r="B214" s="9" t="s">
        <v>390</v>
      </c>
      <c r="C214" s="9" t="s">
        <v>296</v>
      </c>
      <c r="D214" s="38">
        <f t="shared" si="13"/>
        <v>43.636363636363633</v>
      </c>
      <c r="E214" s="10">
        <v>0</v>
      </c>
      <c r="F214" s="10">
        <v>48</v>
      </c>
      <c r="G214" s="41">
        <f t="shared" si="15"/>
        <v>0</v>
      </c>
    </row>
    <row r="215" spans="1:7" x14ac:dyDescent="0.25">
      <c r="A215" s="8" t="s">
        <v>683</v>
      </c>
      <c r="B215" s="9"/>
      <c r="C215" s="9"/>
      <c r="D215" s="38">
        <f t="shared" si="13"/>
        <v>0</v>
      </c>
      <c r="E215" s="10"/>
      <c r="F215" s="10"/>
      <c r="G215" s="41">
        <f t="shared" si="15"/>
        <v>0</v>
      </c>
    </row>
    <row r="216" spans="1:7" ht="25.5" x14ac:dyDescent="0.25">
      <c r="A216" s="8" t="s">
        <v>684</v>
      </c>
      <c r="B216" s="9" t="s">
        <v>391</v>
      </c>
      <c r="C216" s="9" t="s">
        <v>369</v>
      </c>
      <c r="D216" s="38">
        <f t="shared" si="13"/>
        <v>40.909090909090907</v>
      </c>
      <c r="E216" s="10">
        <v>0</v>
      </c>
      <c r="F216" s="25">
        <v>45</v>
      </c>
      <c r="G216" s="53">
        <f t="shared" si="15"/>
        <v>0</v>
      </c>
    </row>
    <row r="217" spans="1:7" x14ac:dyDescent="0.25">
      <c r="A217" s="8" t="s">
        <v>685</v>
      </c>
      <c r="B217" s="9" t="s">
        <v>392</v>
      </c>
      <c r="C217" s="9" t="s">
        <v>296</v>
      </c>
      <c r="D217" s="38">
        <f t="shared" si="13"/>
        <v>45.45454545454546</v>
      </c>
      <c r="E217" s="10">
        <v>0</v>
      </c>
      <c r="F217" s="10">
        <v>50</v>
      </c>
      <c r="G217" s="41">
        <f t="shared" si="15"/>
        <v>0</v>
      </c>
    </row>
    <row r="218" spans="1:7" x14ac:dyDescent="0.25">
      <c r="A218" s="8" t="s">
        <v>686</v>
      </c>
      <c r="B218" s="9" t="s">
        <v>393</v>
      </c>
      <c r="C218" s="9" t="s">
        <v>296</v>
      </c>
      <c r="D218" s="38">
        <f t="shared" si="13"/>
        <v>87.999999999999986</v>
      </c>
      <c r="E218" s="10">
        <v>0</v>
      </c>
      <c r="F218" s="10">
        <v>96.8</v>
      </c>
      <c r="G218" s="41">
        <f t="shared" si="15"/>
        <v>0</v>
      </c>
    </row>
    <row r="219" spans="1:7" x14ac:dyDescent="0.25">
      <c r="A219" s="8" t="s">
        <v>687</v>
      </c>
      <c r="B219" s="9" t="s">
        <v>394</v>
      </c>
      <c r="C219" s="9" t="s">
        <v>296</v>
      </c>
      <c r="D219" s="38">
        <f t="shared" si="13"/>
        <v>84.590909090909093</v>
      </c>
      <c r="E219" s="10">
        <v>1</v>
      </c>
      <c r="F219" s="10">
        <v>93.05</v>
      </c>
      <c r="G219" s="41">
        <f t="shared" si="15"/>
        <v>84.590909090909093</v>
      </c>
    </row>
    <row r="220" spans="1:7" ht="15.75" thickBot="1" x14ac:dyDescent="0.3">
      <c r="A220" s="8" t="s">
        <v>688</v>
      </c>
      <c r="B220" s="9" t="s">
        <v>395</v>
      </c>
      <c r="C220" s="9" t="s">
        <v>296</v>
      </c>
      <c r="D220" s="38">
        <f t="shared" si="13"/>
        <v>39.909090909090907</v>
      </c>
      <c r="E220" s="10">
        <v>0</v>
      </c>
      <c r="F220" s="10">
        <v>43.9</v>
      </c>
      <c r="G220" s="41">
        <f t="shared" si="15"/>
        <v>0</v>
      </c>
    </row>
    <row r="221" spans="1:7" ht="16.5" thickBot="1" x14ac:dyDescent="0.3">
      <c r="A221" s="2"/>
      <c r="B221" s="3" t="s">
        <v>571</v>
      </c>
      <c r="C221" s="4"/>
      <c r="D221" s="47"/>
      <c r="E221" s="5"/>
      <c r="F221" s="35"/>
      <c r="G221" s="51"/>
    </row>
    <row r="222" spans="1:7" ht="25.5" x14ac:dyDescent="0.25">
      <c r="A222" s="8" t="s">
        <v>396</v>
      </c>
      <c r="B222" s="28" t="s">
        <v>397</v>
      </c>
      <c r="C222" s="28" t="s">
        <v>398</v>
      </c>
      <c r="D222" s="38">
        <f t="shared" ref="D222:D226" si="16">F222/11*10</f>
        <v>3.2727272727272725</v>
      </c>
      <c r="E222" s="10">
        <v>0</v>
      </c>
      <c r="F222" s="10">
        <v>3.6</v>
      </c>
      <c r="G222" s="41">
        <f t="shared" ref="G222:G226" si="17">D222*E222</f>
        <v>0</v>
      </c>
    </row>
    <row r="223" spans="1:7" x14ac:dyDescent="0.25">
      <c r="A223" s="8" t="s">
        <v>399</v>
      </c>
      <c r="B223" s="28" t="s">
        <v>400</v>
      </c>
      <c r="C223" s="28" t="s">
        <v>296</v>
      </c>
      <c r="D223" s="38">
        <f t="shared" si="16"/>
        <v>17.272727272727273</v>
      </c>
      <c r="E223" s="10">
        <v>0</v>
      </c>
      <c r="F223" s="10">
        <v>19</v>
      </c>
      <c r="G223" s="41">
        <f t="shared" si="17"/>
        <v>0</v>
      </c>
    </row>
    <row r="224" spans="1:7" x14ac:dyDescent="0.25">
      <c r="A224" s="8" t="s">
        <v>401</v>
      </c>
      <c r="B224" s="28" t="s">
        <v>402</v>
      </c>
      <c r="C224" s="28" t="s">
        <v>79</v>
      </c>
      <c r="D224" s="38">
        <f t="shared" si="16"/>
        <v>1.4090909090909089</v>
      </c>
      <c r="E224" s="10">
        <v>127</v>
      </c>
      <c r="F224" s="10">
        <v>1.55</v>
      </c>
      <c r="G224" s="41">
        <f t="shared" si="17"/>
        <v>178.95454545454544</v>
      </c>
    </row>
    <row r="225" spans="1:7" x14ac:dyDescent="0.25">
      <c r="A225" s="8" t="s">
        <v>403</v>
      </c>
      <c r="B225" s="28" t="s">
        <v>404</v>
      </c>
      <c r="C225" s="28" t="s">
        <v>281</v>
      </c>
      <c r="D225" s="38">
        <f t="shared" si="16"/>
        <v>77.590909090909093</v>
      </c>
      <c r="E225" s="10">
        <v>0</v>
      </c>
      <c r="F225" s="10">
        <v>85.35</v>
      </c>
      <c r="G225" s="41">
        <f t="shared" si="17"/>
        <v>0</v>
      </c>
    </row>
    <row r="226" spans="1:7" ht="39" thickBot="1" x14ac:dyDescent="0.3">
      <c r="A226" s="8" t="s">
        <v>405</v>
      </c>
      <c r="B226" s="28" t="s">
        <v>406</v>
      </c>
      <c r="C226" s="28" t="s">
        <v>407</v>
      </c>
      <c r="D226" s="38">
        <f t="shared" si="16"/>
        <v>0</v>
      </c>
      <c r="E226" s="10">
        <v>0</v>
      </c>
      <c r="F226" s="10"/>
      <c r="G226" s="41">
        <f t="shared" si="17"/>
        <v>0</v>
      </c>
    </row>
    <row r="227" spans="1:7" ht="16.5" thickBot="1" x14ac:dyDescent="0.3">
      <c r="A227" s="2"/>
      <c r="B227" s="3" t="s">
        <v>572</v>
      </c>
      <c r="C227" s="4"/>
      <c r="D227" s="47"/>
      <c r="E227" s="5"/>
      <c r="F227" s="35"/>
      <c r="G227" s="51"/>
    </row>
    <row r="228" spans="1:7" ht="25.5" x14ac:dyDescent="0.25">
      <c r="A228" s="8" t="s">
        <v>408</v>
      </c>
      <c r="B228" s="9" t="s">
        <v>409</v>
      </c>
      <c r="C228" s="9" t="s">
        <v>410</v>
      </c>
      <c r="D228" s="38">
        <f t="shared" ref="D228:D252" si="18">F228/11*10</f>
        <v>3.5454545454545454</v>
      </c>
      <c r="E228" s="10">
        <v>6</v>
      </c>
      <c r="F228" s="10">
        <v>3.9</v>
      </c>
      <c r="G228" s="41">
        <f t="shared" ref="G228:G252" si="19">D228*E228</f>
        <v>21.272727272727273</v>
      </c>
    </row>
    <row r="229" spans="1:7" ht="25.5" x14ac:dyDescent="0.25">
      <c r="A229" s="8" t="s">
        <v>411</v>
      </c>
      <c r="B229" s="9" t="s">
        <v>412</v>
      </c>
      <c r="C229" s="9" t="s">
        <v>413</v>
      </c>
      <c r="D229" s="38">
        <f t="shared" si="18"/>
        <v>34.545454545454547</v>
      </c>
      <c r="E229" s="10">
        <v>4</v>
      </c>
      <c r="F229" s="10">
        <v>38</v>
      </c>
      <c r="G229" s="41">
        <f t="shared" si="19"/>
        <v>138.18181818181819</v>
      </c>
    </row>
    <row r="230" spans="1:7" x14ac:dyDescent="0.25">
      <c r="A230" s="8" t="s">
        <v>414</v>
      </c>
      <c r="B230" s="9" t="s">
        <v>415</v>
      </c>
      <c r="C230" s="9" t="s">
        <v>79</v>
      </c>
      <c r="D230" s="38">
        <f t="shared" si="18"/>
        <v>1.6818181818181819</v>
      </c>
      <c r="E230" s="10">
        <v>5</v>
      </c>
      <c r="F230" s="10">
        <v>1.85</v>
      </c>
      <c r="G230" s="41">
        <f t="shared" si="19"/>
        <v>8.4090909090909101</v>
      </c>
    </row>
    <row r="231" spans="1:7" x14ac:dyDescent="0.25">
      <c r="A231" s="8" t="s">
        <v>416</v>
      </c>
      <c r="B231" s="9" t="s">
        <v>417</v>
      </c>
      <c r="C231" s="9" t="s">
        <v>195</v>
      </c>
      <c r="D231" s="38">
        <f t="shared" si="18"/>
        <v>5.5454545454545459</v>
      </c>
      <c r="E231" s="10">
        <v>0</v>
      </c>
      <c r="F231" s="10">
        <v>6.1</v>
      </c>
      <c r="G231" s="41">
        <f t="shared" si="19"/>
        <v>0</v>
      </c>
    </row>
    <row r="232" spans="1:7" x14ac:dyDescent="0.25">
      <c r="A232" s="8" t="s">
        <v>418</v>
      </c>
      <c r="B232" s="9" t="s">
        <v>419</v>
      </c>
      <c r="C232" s="9" t="s">
        <v>420</v>
      </c>
      <c r="D232" s="38">
        <f t="shared" si="18"/>
        <v>2.2272727272727275</v>
      </c>
      <c r="E232" s="10">
        <v>0</v>
      </c>
      <c r="F232" s="10">
        <v>2.4500000000000002</v>
      </c>
      <c r="G232" s="41">
        <f t="shared" si="19"/>
        <v>0</v>
      </c>
    </row>
    <row r="233" spans="1:7" ht="38.25" x14ac:dyDescent="0.25">
      <c r="A233" s="8" t="s">
        <v>421</v>
      </c>
      <c r="B233" s="9" t="s">
        <v>422</v>
      </c>
      <c r="C233" s="9" t="s">
        <v>423</v>
      </c>
      <c r="D233" s="38">
        <f t="shared" si="18"/>
        <v>6.4090909090909083</v>
      </c>
      <c r="E233" s="10">
        <v>0</v>
      </c>
      <c r="F233" s="10">
        <v>7.05</v>
      </c>
      <c r="G233" s="41">
        <f t="shared" si="19"/>
        <v>0</v>
      </c>
    </row>
    <row r="234" spans="1:7" x14ac:dyDescent="0.25">
      <c r="A234" s="8" t="s">
        <v>424</v>
      </c>
      <c r="B234" s="9" t="s">
        <v>425</v>
      </c>
      <c r="C234" s="9" t="s">
        <v>426</v>
      </c>
      <c r="D234" s="38">
        <f t="shared" si="18"/>
        <v>18.636363636363637</v>
      </c>
      <c r="E234" s="10">
        <v>12</v>
      </c>
      <c r="F234" s="10">
        <v>20.5</v>
      </c>
      <c r="G234" s="41">
        <f t="shared" si="19"/>
        <v>223.63636363636363</v>
      </c>
    </row>
    <row r="235" spans="1:7" x14ac:dyDescent="0.25">
      <c r="A235" s="8" t="s">
        <v>427</v>
      </c>
      <c r="B235" s="9" t="s">
        <v>428</v>
      </c>
      <c r="C235" s="9" t="s">
        <v>71</v>
      </c>
      <c r="D235" s="38">
        <f t="shared" si="18"/>
        <v>45</v>
      </c>
      <c r="E235" s="10">
        <v>0</v>
      </c>
      <c r="F235" s="10">
        <v>49.5</v>
      </c>
      <c r="G235" s="41">
        <f t="shared" si="19"/>
        <v>0</v>
      </c>
    </row>
    <row r="236" spans="1:7" ht="25.5" x14ac:dyDescent="0.25">
      <c r="A236" s="8" t="s">
        <v>429</v>
      </c>
      <c r="B236" s="9" t="s">
        <v>430</v>
      </c>
      <c r="C236" s="9" t="s">
        <v>431</v>
      </c>
      <c r="D236" s="38">
        <f t="shared" si="18"/>
        <v>2.2727272727272725</v>
      </c>
      <c r="E236" s="10">
        <v>7</v>
      </c>
      <c r="F236" s="10">
        <v>2.5</v>
      </c>
      <c r="G236" s="41">
        <f t="shared" si="19"/>
        <v>15.909090909090907</v>
      </c>
    </row>
    <row r="237" spans="1:7" x14ac:dyDescent="0.25">
      <c r="A237" s="8" t="s">
        <v>432</v>
      </c>
      <c r="B237" s="9" t="s">
        <v>433</v>
      </c>
      <c r="C237" s="9" t="s">
        <v>434</v>
      </c>
      <c r="D237" s="38">
        <f t="shared" si="18"/>
        <v>18</v>
      </c>
      <c r="E237" s="10">
        <v>2</v>
      </c>
      <c r="F237" s="10">
        <v>19.8</v>
      </c>
      <c r="G237" s="41">
        <f t="shared" si="19"/>
        <v>36</v>
      </c>
    </row>
    <row r="238" spans="1:7" ht="25.5" x14ac:dyDescent="0.25">
      <c r="A238" s="8" t="s">
        <v>435</v>
      </c>
      <c r="B238" s="9" t="s">
        <v>436</v>
      </c>
      <c r="C238" s="9" t="s">
        <v>437</v>
      </c>
      <c r="D238" s="38">
        <f t="shared" si="18"/>
        <v>51.818181818181813</v>
      </c>
      <c r="E238" s="10">
        <v>0</v>
      </c>
      <c r="F238" s="10">
        <v>57</v>
      </c>
      <c r="G238" s="41">
        <f t="shared" si="19"/>
        <v>0</v>
      </c>
    </row>
    <row r="239" spans="1:7" ht="25.5" x14ac:dyDescent="0.25">
      <c r="A239" s="8" t="s">
        <v>438</v>
      </c>
      <c r="B239" s="9" t="s">
        <v>430</v>
      </c>
      <c r="C239" s="9" t="s">
        <v>439</v>
      </c>
      <c r="D239" s="38">
        <f t="shared" si="18"/>
        <v>10.999999999999998</v>
      </c>
      <c r="E239" s="10">
        <v>2</v>
      </c>
      <c r="F239" s="10">
        <v>12.1</v>
      </c>
      <c r="G239" s="41">
        <f t="shared" si="19"/>
        <v>21.999999999999996</v>
      </c>
    </row>
    <row r="240" spans="1:7" ht="38.25" x14ac:dyDescent="0.25">
      <c r="A240" s="8" t="s">
        <v>440</v>
      </c>
      <c r="B240" s="9" t="s">
        <v>441</v>
      </c>
      <c r="C240" s="9" t="s">
        <v>442</v>
      </c>
      <c r="D240" s="38">
        <f t="shared" si="18"/>
        <v>17.590909090909093</v>
      </c>
      <c r="E240" s="10">
        <v>0</v>
      </c>
      <c r="F240" s="10">
        <v>19.350000000000001</v>
      </c>
      <c r="G240" s="41">
        <f t="shared" si="19"/>
        <v>0</v>
      </c>
    </row>
    <row r="241" spans="1:7" ht="25.5" x14ac:dyDescent="0.25">
      <c r="A241" s="63" t="s">
        <v>443</v>
      </c>
      <c r="B241" s="65" t="s">
        <v>693</v>
      </c>
      <c r="C241" s="9" t="s">
        <v>444</v>
      </c>
      <c r="D241" s="38">
        <f t="shared" si="18"/>
        <v>8.5</v>
      </c>
      <c r="E241" s="10"/>
      <c r="F241" s="10">
        <v>9.35</v>
      </c>
      <c r="G241" s="41">
        <f t="shared" si="19"/>
        <v>0</v>
      </c>
    </row>
    <row r="242" spans="1:7" ht="25.5" x14ac:dyDescent="0.25">
      <c r="A242" s="63"/>
      <c r="B242" s="65"/>
      <c r="C242" s="9" t="s">
        <v>445</v>
      </c>
      <c r="D242" s="38">
        <f t="shared" si="18"/>
        <v>136.36363636363637</v>
      </c>
      <c r="E242" s="10"/>
      <c r="F242" s="10">
        <v>150</v>
      </c>
      <c r="G242" s="41">
        <f t="shared" si="19"/>
        <v>0</v>
      </c>
    </row>
    <row r="243" spans="1:7" x14ac:dyDescent="0.25">
      <c r="A243" s="63" t="s">
        <v>446</v>
      </c>
      <c r="B243" s="9" t="s">
        <v>447</v>
      </c>
      <c r="C243" s="9" t="s">
        <v>449</v>
      </c>
      <c r="D243" s="38">
        <f t="shared" si="18"/>
        <v>10.545454545454545</v>
      </c>
      <c r="E243" s="10">
        <v>0</v>
      </c>
      <c r="F243" s="10">
        <v>11.6</v>
      </c>
      <c r="G243" s="41">
        <f t="shared" si="19"/>
        <v>0</v>
      </c>
    </row>
    <row r="244" spans="1:7" ht="25.5" x14ac:dyDescent="0.25">
      <c r="A244" s="63"/>
      <c r="B244" s="9" t="s">
        <v>448</v>
      </c>
      <c r="C244" s="9" t="s">
        <v>450</v>
      </c>
      <c r="D244" s="38">
        <f t="shared" si="18"/>
        <v>126.54545454545455</v>
      </c>
      <c r="E244" s="10">
        <v>0</v>
      </c>
      <c r="F244" s="10">
        <v>139.19999999999999</v>
      </c>
      <c r="G244" s="41">
        <f t="shared" si="19"/>
        <v>0</v>
      </c>
    </row>
    <row r="245" spans="1:7" x14ac:dyDescent="0.25">
      <c r="A245" s="8" t="s">
        <v>451</v>
      </c>
      <c r="B245" s="9" t="s">
        <v>452</v>
      </c>
      <c r="C245" s="9"/>
      <c r="D245" s="38">
        <f t="shared" si="18"/>
        <v>0</v>
      </c>
      <c r="E245" s="10">
        <v>5</v>
      </c>
      <c r="F245" s="10"/>
      <c r="G245" s="41">
        <f t="shared" si="19"/>
        <v>0</v>
      </c>
    </row>
    <row r="246" spans="1:7" x14ac:dyDescent="0.25">
      <c r="A246" s="8" t="s">
        <v>453</v>
      </c>
      <c r="B246" s="9" t="s">
        <v>454</v>
      </c>
      <c r="C246" s="9"/>
      <c r="D246" s="38">
        <f t="shared" si="18"/>
        <v>0</v>
      </c>
      <c r="E246" s="10">
        <v>0</v>
      </c>
      <c r="F246" s="10"/>
      <c r="G246" s="41">
        <f t="shared" si="19"/>
        <v>0</v>
      </c>
    </row>
    <row r="247" spans="1:7" x14ac:dyDescent="0.25">
      <c r="A247" s="8"/>
      <c r="B247" s="9" t="s">
        <v>691</v>
      </c>
      <c r="C247" s="9"/>
      <c r="D247" s="38">
        <v>50.13</v>
      </c>
      <c r="E247" s="10">
        <v>25</v>
      </c>
      <c r="F247" s="10">
        <v>55.7</v>
      </c>
      <c r="G247" s="41">
        <f t="shared" si="19"/>
        <v>1253.25</v>
      </c>
    </row>
    <row r="248" spans="1:7" x14ac:dyDescent="0.25">
      <c r="A248" s="8"/>
      <c r="B248" s="9" t="s">
        <v>692</v>
      </c>
      <c r="C248" s="9"/>
      <c r="D248" s="38">
        <v>48.24</v>
      </c>
      <c r="E248" s="10">
        <v>20</v>
      </c>
      <c r="F248" s="10">
        <v>53.6</v>
      </c>
      <c r="G248" s="41">
        <f t="shared" si="19"/>
        <v>964.80000000000007</v>
      </c>
    </row>
    <row r="249" spans="1:7" x14ac:dyDescent="0.25">
      <c r="A249" s="8">
        <v>5118</v>
      </c>
      <c r="B249" s="9" t="s">
        <v>456</v>
      </c>
      <c r="C249" s="9" t="s">
        <v>524</v>
      </c>
      <c r="D249" s="38"/>
      <c r="E249" s="10">
        <v>30</v>
      </c>
      <c r="F249" s="10">
        <v>8</v>
      </c>
      <c r="G249" s="41">
        <v>264</v>
      </c>
    </row>
    <row r="250" spans="1:7" x14ac:dyDescent="0.25">
      <c r="A250" s="8" t="s">
        <v>455</v>
      </c>
      <c r="B250" s="9" t="s">
        <v>456</v>
      </c>
      <c r="C250" s="9" t="s">
        <v>694</v>
      </c>
      <c r="D250" s="38">
        <f t="shared" si="18"/>
        <v>43.636363636363633</v>
      </c>
      <c r="E250" s="10"/>
      <c r="F250" s="10">
        <v>48</v>
      </c>
      <c r="G250" s="41">
        <f t="shared" si="19"/>
        <v>0</v>
      </c>
    </row>
    <row r="251" spans="1:7" ht="25.5" x14ac:dyDescent="0.25">
      <c r="A251" s="63" t="s">
        <v>457</v>
      </c>
      <c r="B251" s="65" t="s">
        <v>458</v>
      </c>
      <c r="C251" s="9" t="s">
        <v>459</v>
      </c>
      <c r="D251" s="38"/>
      <c r="E251" s="10"/>
      <c r="F251" s="10" t="s">
        <v>461</v>
      </c>
      <c r="G251" s="41">
        <f t="shared" si="19"/>
        <v>0</v>
      </c>
    </row>
    <row r="252" spans="1:7" ht="26.25" thickBot="1" x14ac:dyDescent="0.3">
      <c r="A252" s="64"/>
      <c r="B252" s="66"/>
      <c r="C252" s="18" t="s">
        <v>460</v>
      </c>
      <c r="D252" s="46">
        <f t="shared" si="18"/>
        <v>43.636363636363633</v>
      </c>
      <c r="E252" s="19"/>
      <c r="F252" s="19">
        <v>48</v>
      </c>
      <c r="G252" s="44">
        <f t="shared" si="19"/>
        <v>0</v>
      </c>
    </row>
    <row r="253" spans="1:7" ht="17.25" thickTop="1" thickBot="1" x14ac:dyDescent="0.3">
      <c r="A253" s="2"/>
      <c r="B253" s="3" t="s">
        <v>573</v>
      </c>
      <c r="C253" s="4"/>
      <c r="D253" s="47"/>
      <c r="E253" s="5"/>
      <c r="F253" s="35"/>
      <c r="G253" s="51"/>
    </row>
    <row r="254" spans="1:7" ht="15.75" thickTop="1" x14ac:dyDescent="0.25">
      <c r="A254" s="14" t="s">
        <v>462</v>
      </c>
      <c r="B254" s="15" t="s">
        <v>463</v>
      </c>
      <c r="C254" s="15" t="s">
        <v>71</v>
      </c>
      <c r="D254" s="45">
        <f t="shared" ref="D254:D295" si="20">F254/11*10</f>
        <v>6.2272727272727266</v>
      </c>
      <c r="E254" s="16">
        <v>1000</v>
      </c>
      <c r="F254" s="16">
        <v>6.85</v>
      </c>
      <c r="G254" s="43">
        <f t="shared" ref="G254:G295" si="21">D254*E254</f>
        <v>6227.272727272727</v>
      </c>
    </row>
    <row r="255" spans="1:7" x14ac:dyDescent="0.25">
      <c r="A255" s="8" t="s">
        <v>464</v>
      </c>
      <c r="B255" s="9" t="s">
        <v>465</v>
      </c>
      <c r="C255" s="9" t="s">
        <v>12</v>
      </c>
      <c r="D255" s="38">
        <f t="shared" si="20"/>
        <v>14.545454545454547</v>
      </c>
      <c r="E255" s="10">
        <v>0</v>
      </c>
      <c r="F255" s="10">
        <v>16</v>
      </c>
      <c r="G255" s="41">
        <f t="shared" si="21"/>
        <v>0</v>
      </c>
    </row>
    <row r="256" spans="1:7" x14ac:dyDescent="0.25">
      <c r="A256" s="8" t="s">
        <v>466</v>
      </c>
      <c r="B256" s="9" t="s">
        <v>467</v>
      </c>
      <c r="C256" s="9" t="s">
        <v>468</v>
      </c>
      <c r="D256" s="38">
        <f t="shared" si="20"/>
        <v>1.5909090909090908</v>
      </c>
      <c r="E256" s="10">
        <v>427</v>
      </c>
      <c r="F256" s="10">
        <v>1.75</v>
      </c>
      <c r="G256" s="41">
        <f t="shared" si="21"/>
        <v>679.31818181818176</v>
      </c>
    </row>
    <row r="257" spans="1:7" x14ac:dyDescent="0.25">
      <c r="A257" s="8" t="s">
        <v>469</v>
      </c>
      <c r="B257" s="9" t="s">
        <v>470</v>
      </c>
      <c r="C257" s="9" t="s">
        <v>471</v>
      </c>
      <c r="D257" s="38">
        <v>26.4</v>
      </c>
      <c r="E257" s="10">
        <v>6</v>
      </c>
      <c r="F257" s="10">
        <v>31.9</v>
      </c>
      <c r="G257" s="41">
        <f t="shared" si="21"/>
        <v>158.39999999999998</v>
      </c>
    </row>
    <row r="258" spans="1:7" x14ac:dyDescent="0.25">
      <c r="A258" s="8" t="s">
        <v>472</v>
      </c>
      <c r="B258" s="9" t="s">
        <v>473</v>
      </c>
      <c r="C258" s="9" t="s">
        <v>474</v>
      </c>
      <c r="D258" s="38">
        <f t="shared" si="20"/>
        <v>9.2272727272727266</v>
      </c>
      <c r="E258" s="10">
        <v>0</v>
      </c>
      <c r="F258" s="10">
        <v>10.15</v>
      </c>
      <c r="G258" s="41">
        <f t="shared" si="21"/>
        <v>0</v>
      </c>
    </row>
    <row r="259" spans="1:7" x14ac:dyDescent="0.25">
      <c r="A259" s="8" t="s">
        <v>475</v>
      </c>
      <c r="B259" s="9" t="s">
        <v>476</v>
      </c>
      <c r="C259" s="9" t="s">
        <v>12</v>
      </c>
      <c r="D259" s="38">
        <f t="shared" si="20"/>
        <v>2.7272727272727271</v>
      </c>
      <c r="E259" s="10">
        <v>7</v>
      </c>
      <c r="F259" s="10">
        <v>3</v>
      </c>
      <c r="G259" s="41">
        <f t="shared" si="21"/>
        <v>19.09090909090909</v>
      </c>
    </row>
    <row r="260" spans="1:7" x14ac:dyDescent="0.25">
      <c r="A260" s="8" t="s">
        <v>477</v>
      </c>
      <c r="B260" s="9" t="s">
        <v>478</v>
      </c>
      <c r="C260" s="9" t="s">
        <v>12</v>
      </c>
      <c r="D260" s="38">
        <f t="shared" si="20"/>
        <v>3.0909090909090908</v>
      </c>
      <c r="E260" s="10">
        <v>20</v>
      </c>
      <c r="F260" s="10">
        <v>3.4</v>
      </c>
      <c r="G260" s="41">
        <f t="shared" si="21"/>
        <v>61.818181818181813</v>
      </c>
    </row>
    <row r="261" spans="1:7" x14ac:dyDescent="0.25">
      <c r="A261" s="8" t="s">
        <v>479</v>
      </c>
      <c r="B261" s="9" t="s">
        <v>480</v>
      </c>
      <c r="C261" s="9" t="s">
        <v>481</v>
      </c>
      <c r="D261" s="38">
        <f t="shared" si="20"/>
        <v>3.5454545454545454</v>
      </c>
      <c r="E261" s="10"/>
      <c r="F261" s="10">
        <v>3.9</v>
      </c>
      <c r="G261" s="41">
        <f t="shared" si="21"/>
        <v>0</v>
      </c>
    </row>
    <row r="262" spans="1:7" x14ac:dyDescent="0.25">
      <c r="A262" s="8" t="s">
        <v>482</v>
      </c>
      <c r="B262" s="9" t="s">
        <v>483</v>
      </c>
      <c r="C262" s="9" t="s">
        <v>484</v>
      </c>
      <c r="D262" s="38">
        <f t="shared" si="20"/>
        <v>0.32727272727272722</v>
      </c>
      <c r="E262" s="10">
        <v>4680</v>
      </c>
      <c r="F262" s="10">
        <v>0.36</v>
      </c>
      <c r="G262" s="60">
        <f t="shared" si="21"/>
        <v>1531.6363636363633</v>
      </c>
    </row>
    <row r="263" spans="1:7" x14ac:dyDescent="0.25">
      <c r="A263" s="8" t="s">
        <v>485</v>
      </c>
      <c r="B263" s="9" t="s">
        <v>486</v>
      </c>
      <c r="C263" s="9" t="s">
        <v>487</v>
      </c>
      <c r="D263" s="38">
        <f t="shared" si="20"/>
        <v>1.3636363636363635</v>
      </c>
      <c r="E263" s="10">
        <v>8</v>
      </c>
      <c r="F263" s="10">
        <v>1.5</v>
      </c>
      <c r="G263" s="41">
        <f t="shared" si="21"/>
        <v>10.909090909090908</v>
      </c>
    </row>
    <row r="264" spans="1:7" ht="25.5" x14ac:dyDescent="0.25">
      <c r="A264" s="8" t="s">
        <v>488</v>
      </c>
      <c r="B264" s="9" t="s">
        <v>489</v>
      </c>
      <c r="C264" s="9" t="s">
        <v>490</v>
      </c>
      <c r="D264" s="38">
        <f t="shared" si="20"/>
        <v>10.5</v>
      </c>
      <c r="E264" s="10">
        <v>90</v>
      </c>
      <c r="F264" s="10">
        <v>11.55</v>
      </c>
      <c r="G264" s="41">
        <f t="shared" si="21"/>
        <v>945</v>
      </c>
    </row>
    <row r="265" spans="1:7" x14ac:dyDescent="0.25">
      <c r="A265" s="8" t="s">
        <v>491</v>
      </c>
      <c r="B265" s="9" t="s">
        <v>492</v>
      </c>
      <c r="C265" s="9" t="s">
        <v>12</v>
      </c>
      <c r="D265" s="38">
        <f t="shared" si="20"/>
        <v>19.090909090909093</v>
      </c>
      <c r="E265" s="10">
        <v>0</v>
      </c>
      <c r="F265" s="10">
        <v>21</v>
      </c>
      <c r="G265" s="41">
        <f t="shared" si="21"/>
        <v>0</v>
      </c>
    </row>
    <row r="266" spans="1:7" x14ac:dyDescent="0.25">
      <c r="A266" s="8" t="s">
        <v>493</v>
      </c>
      <c r="B266" s="9" t="s">
        <v>494</v>
      </c>
      <c r="C266" s="9" t="s">
        <v>12</v>
      </c>
      <c r="D266" s="38">
        <f t="shared" si="20"/>
        <v>3.1818181818181817</v>
      </c>
      <c r="E266" s="10">
        <v>12</v>
      </c>
      <c r="F266" s="10">
        <v>3.5</v>
      </c>
      <c r="G266" s="41">
        <f t="shared" si="21"/>
        <v>38.18181818181818</v>
      </c>
    </row>
    <row r="267" spans="1:7" ht="38.25" x14ac:dyDescent="0.25">
      <c r="A267" s="8" t="s">
        <v>495</v>
      </c>
      <c r="B267" s="9" t="s">
        <v>496</v>
      </c>
      <c r="C267" s="9" t="s">
        <v>497</v>
      </c>
      <c r="D267" s="38">
        <f t="shared" si="20"/>
        <v>137.5</v>
      </c>
      <c r="E267" s="10">
        <v>0</v>
      </c>
      <c r="F267" s="10">
        <v>151.25</v>
      </c>
      <c r="G267" s="41">
        <f t="shared" si="21"/>
        <v>0</v>
      </c>
    </row>
    <row r="268" spans="1:7" ht="38.25" x14ac:dyDescent="0.25">
      <c r="A268" s="8" t="s">
        <v>498</v>
      </c>
      <c r="B268" s="9" t="s">
        <v>499</v>
      </c>
      <c r="C268" s="9" t="s">
        <v>500</v>
      </c>
      <c r="D268" s="38">
        <f t="shared" si="20"/>
        <v>26.363636363636363</v>
      </c>
      <c r="E268" s="10">
        <v>10</v>
      </c>
      <c r="F268" s="10">
        <v>29</v>
      </c>
      <c r="G268" s="41">
        <f t="shared" si="21"/>
        <v>263.63636363636363</v>
      </c>
    </row>
    <row r="269" spans="1:7" x14ac:dyDescent="0.25">
      <c r="A269" s="8" t="s">
        <v>501</v>
      </c>
      <c r="B269" s="9" t="s">
        <v>502</v>
      </c>
      <c r="C269" s="9" t="s">
        <v>12</v>
      </c>
      <c r="D269" s="38">
        <f t="shared" si="20"/>
        <v>4.5</v>
      </c>
      <c r="E269" s="10">
        <v>53</v>
      </c>
      <c r="F269" s="10">
        <v>4.95</v>
      </c>
      <c r="G269" s="60">
        <f t="shared" si="21"/>
        <v>238.5</v>
      </c>
    </row>
    <row r="270" spans="1:7" x14ac:dyDescent="0.25">
      <c r="A270" s="8" t="s">
        <v>503</v>
      </c>
      <c r="B270" s="9" t="s">
        <v>504</v>
      </c>
      <c r="C270" s="9" t="s">
        <v>12</v>
      </c>
      <c r="D270" s="38">
        <f t="shared" si="20"/>
        <v>63.636363636363633</v>
      </c>
      <c r="E270" s="10">
        <v>0</v>
      </c>
      <c r="F270" s="10">
        <v>70</v>
      </c>
      <c r="G270" s="41">
        <f t="shared" si="21"/>
        <v>0</v>
      </c>
    </row>
    <row r="271" spans="1:7" x14ac:dyDescent="0.25">
      <c r="A271" s="8" t="s">
        <v>505</v>
      </c>
      <c r="B271" s="9" t="s">
        <v>506</v>
      </c>
      <c r="C271" s="9" t="s">
        <v>507</v>
      </c>
      <c r="D271" s="38">
        <f t="shared" si="20"/>
        <v>22.72727272727273</v>
      </c>
      <c r="E271" s="10">
        <v>0</v>
      </c>
      <c r="F271" s="25">
        <v>25</v>
      </c>
      <c r="G271" s="53">
        <f t="shared" si="21"/>
        <v>0</v>
      </c>
    </row>
    <row r="272" spans="1:7" x14ac:dyDescent="0.25">
      <c r="A272" s="8">
        <v>5219</v>
      </c>
      <c r="B272" s="9" t="s">
        <v>508</v>
      </c>
      <c r="C272" s="9" t="s">
        <v>509</v>
      </c>
      <c r="D272" s="38">
        <f t="shared" si="20"/>
        <v>32.909090909090907</v>
      </c>
      <c r="E272" s="10">
        <v>22</v>
      </c>
      <c r="F272" s="10">
        <v>36.200000000000003</v>
      </c>
      <c r="G272" s="41">
        <f t="shared" si="21"/>
        <v>724</v>
      </c>
    </row>
    <row r="273" spans="1:7" ht="25.5" x14ac:dyDescent="0.25">
      <c r="A273" s="8">
        <v>5220</v>
      </c>
      <c r="B273" s="9" t="s">
        <v>510</v>
      </c>
      <c r="C273" s="9" t="s">
        <v>511</v>
      </c>
      <c r="D273" s="38">
        <f t="shared" si="20"/>
        <v>5.7727272727272725</v>
      </c>
      <c r="E273" s="10">
        <v>52</v>
      </c>
      <c r="F273" s="10">
        <v>6.35</v>
      </c>
      <c r="G273" s="60">
        <f t="shared" si="21"/>
        <v>300.18181818181819</v>
      </c>
    </row>
    <row r="274" spans="1:7" x14ac:dyDescent="0.25">
      <c r="A274" s="8">
        <v>5221</v>
      </c>
      <c r="B274" s="9" t="s">
        <v>512</v>
      </c>
      <c r="C274" s="9" t="s">
        <v>513</v>
      </c>
      <c r="D274" s="38">
        <f t="shared" si="20"/>
        <v>21.999999999999996</v>
      </c>
      <c r="E274" s="10">
        <v>80</v>
      </c>
      <c r="F274" s="10">
        <v>24.2</v>
      </c>
      <c r="G274" s="41">
        <f t="shared" si="21"/>
        <v>1759.9999999999998</v>
      </c>
    </row>
    <row r="275" spans="1:7" x14ac:dyDescent="0.25">
      <c r="A275" s="8">
        <v>5222</v>
      </c>
      <c r="B275" s="9" t="s">
        <v>514</v>
      </c>
      <c r="C275" s="9" t="s">
        <v>515</v>
      </c>
      <c r="D275" s="38">
        <f t="shared" si="20"/>
        <v>3.5454545454545454</v>
      </c>
      <c r="E275" s="10">
        <v>50</v>
      </c>
      <c r="F275" s="10">
        <v>3.9</v>
      </c>
      <c r="G275" s="41">
        <f t="shared" si="21"/>
        <v>177.27272727272728</v>
      </c>
    </row>
    <row r="276" spans="1:7" x14ac:dyDescent="0.25">
      <c r="A276" s="8">
        <v>5223</v>
      </c>
      <c r="B276" s="29" t="s">
        <v>516</v>
      </c>
      <c r="C276" s="9" t="s">
        <v>509</v>
      </c>
      <c r="D276" s="38">
        <f t="shared" si="20"/>
        <v>26</v>
      </c>
      <c r="E276" s="10">
        <v>10</v>
      </c>
      <c r="F276" s="10">
        <v>28.6</v>
      </c>
      <c r="G276" s="41">
        <f t="shared" si="21"/>
        <v>260</v>
      </c>
    </row>
    <row r="277" spans="1:7" ht="25.5" x14ac:dyDescent="0.25">
      <c r="A277" s="8">
        <v>5224</v>
      </c>
      <c r="B277" s="9" t="s">
        <v>517</v>
      </c>
      <c r="C277" s="9" t="s">
        <v>518</v>
      </c>
      <c r="D277" s="38">
        <f t="shared" si="20"/>
        <v>11.818181818181818</v>
      </c>
      <c r="E277" s="10">
        <v>75</v>
      </c>
      <c r="F277" s="10">
        <v>13</v>
      </c>
      <c r="G277" s="60">
        <f t="shared" si="21"/>
        <v>886.36363636363637</v>
      </c>
    </row>
    <row r="278" spans="1:7" x14ac:dyDescent="0.25">
      <c r="A278" s="8">
        <v>5225</v>
      </c>
      <c r="B278" s="9" t="s">
        <v>519</v>
      </c>
      <c r="C278" s="9" t="s">
        <v>520</v>
      </c>
      <c r="D278" s="38">
        <f t="shared" si="20"/>
        <v>32.727272727272727</v>
      </c>
      <c r="E278" s="10">
        <v>0</v>
      </c>
      <c r="F278" s="10">
        <v>36</v>
      </c>
      <c r="G278" s="41">
        <f t="shared" si="21"/>
        <v>0</v>
      </c>
    </row>
    <row r="279" spans="1:7" x14ac:dyDescent="0.25">
      <c r="A279" s="8">
        <v>5226</v>
      </c>
      <c r="B279" s="9" t="s">
        <v>521</v>
      </c>
      <c r="C279" s="9" t="s">
        <v>484</v>
      </c>
      <c r="D279" s="38">
        <f t="shared" si="20"/>
        <v>7.7272727272727266</v>
      </c>
      <c r="E279" s="10">
        <v>3</v>
      </c>
      <c r="F279" s="10">
        <v>8.5</v>
      </c>
      <c r="G279" s="41">
        <f t="shared" si="21"/>
        <v>23.18181818181818</v>
      </c>
    </row>
    <row r="280" spans="1:7" x14ac:dyDescent="0.25">
      <c r="A280" s="8">
        <v>5227</v>
      </c>
      <c r="B280" s="9" t="s">
        <v>522</v>
      </c>
      <c r="C280" s="9" t="s">
        <v>203</v>
      </c>
      <c r="D280" s="38">
        <f t="shared" si="20"/>
        <v>4</v>
      </c>
      <c r="E280" s="10">
        <v>1</v>
      </c>
      <c r="F280" s="10">
        <v>4.4000000000000004</v>
      </c>
      <c r="G280" s="41">
        <f t="shared" si="21"/>
        <v>4</v>
      </c>
    </row>
    <row r="281" spans="1:7" x14ac:dyDescent="0.25">
      <c r="A281" s="8">
        <v>5228</v>
      </c>
      <c r="B281" s="9" t="s">
        <v>523</v>
      </c>
      <c r="C281" s="9" t="s">
        <v>524</v>
      </c>
      <c r="D281" s="38">
        <f t="shared" si="20"/>
        <v>3.0454545454545459</v>
      </c>
      <c r="E281" s="10">
        <v>28</v>
      </c>
      <c r="F281" s="10">
        <v>3.35</v>
      </c>
      <c r="G281" s="41">
        <f t="shared" si="21"/>
        <v>85.27272727272728</v>
      </c>
    </row>
    <row r="282" spans="1:7" x14ac:dyDescent="0.25">
      <c r="A282" s="8">
        <v>5229</v>
      </c>
      <c r="B282" s="30" t="s">
        <v>584</v>
      </c>
      <c r="C282" s="9"/>
      <c r="D282" s="38">
        <f t="shared" si="20"/>
        <v>74</v>
      </c>
      <c r="E282" s="10">
        <v>0</v>
      </c>
      <c r="F282" s="10">
        <v>81.400000000000006</v>
      </c>
      <c r="G282" s="41">
        <f t="shared" si="21"/>
        <v>0</v>
      </c>
    </row>
    <row r="283" spans="1:7" ht="25.5" x14ac:dyDescent="0.25">
      <c r="A283" s="8" t="s">
        <v>525</v>
      </c>
      <c r="B283" s="9" t="s">
        <v>526</v>
      </c>
      <c r="C283" s="9" t="s">
        <v>527</v>
      </c>
      <c r="D283" s="38">
        <f t="shared" si="20"/>
        <v>42.227272727272727</v>
      </c>
      <c r="E283" s="10">
        <v>22</v>
      </c>
      <c r="F283" s="10">
        <v>46.45</v>
      </c>
      <c r="G283" s="41">
        <f t="shared" si="21"/>
        <v>929</v>
      </c>
    </row>
    <row r="284" spans="1:7" ht="25.5" x14ac:dyDescent="0.25">
      <c r="A284" s="8" t="s">
        <v>528</v>
      </c>
      <c r="B284" s="9" t="s">
        <v>529</v>
      </c>
      <c r="C284" s="9" t="s">
        <v>530</v>
      </c>
      <c r="D284" s="38">
        <f t="shared" si="20"/>
        <v>21.363636363636363</v>
      </c>
      <c r="E284" s="10">
        <v>17</v>
      </c>
      <c r="F284" s="10">
        <v>23.5</v>
      </c>
      <c r="G284" s="41">
        <f t="shared" si="21"/>
        <v>363.18181818181819</v>
      </c>
    </row>
    <row r="285" spans="1:7" x14ac:dyDescent="0.25">
      <c r="A285" s="8" t="s">
        <v>531</v>
      </c>
      <c r="B285" s="9" t="s">
        <v>532</v>
      </c>
      <c r="C285" s="9" t="s">
        <v>533</v>
      </c>
      <c r="D285" s="38">
        <f t="shared" si="20"/>
        <v>1.4545454545454548</v>
      </c>
      <c r="E285" s="10">
        <v>111</v>
      </c>
      <c r="F285" s="10">
        <v>1.6</v>
      </c>
      <c r="G285" s="41">
        <f t="shared" si="21"/>
        <v>161.4545454545455</v>
      </c>
    </row>
    <row r="286" spans="1:7" ht="25.5" x14ac:dyDescent="0.25">
      <c r="A286" s="8" t="s">
        <v>534</v>
      </c>
      <c r="B286" s="9" t="s">
        <v>535</v>
      </c>
      <c r="C286" s="9" t="s">
        <v>536</v>
      </c>
      <c r="D286" s="38">
        <f t="shared" si="20"/>
        <v>5.4090909090909092</v>
      </c>
      <c r="E286" s="10">
        <v>39</v>
      </c>
      <c r="F286" s="10">
        <v>5.95</v>
      </c>
      <c r="G286" s="41">
        <f t="shared" si="21"/>
        <v>210.95454545454547</v>
      </c>
    </row>
    <row r="287" spans="1:7" x14ac:dyDescent="0.25">
      <c r="A287" s="8" t="s">
        <v>537</v>
      </c>
      <c r="B287" s="9" t="s">
        <v>538</v>
      </c>
      <c r="C287" s="9" t="s">
        <v>12</v>
      </c>
      <c r="D287" s="38">
        <f t="shared" si="20"/>
        <v>35.36363636363636</v>
      </c>
      <c r="E287" s="10">
        <v>10</v>
      </c>
      <c r="F287" s="10">
        <v>38.9</v>
      </c>
      <c r="G287" s="41">
        <f t="shared" si="21"/>
        <v>353.63636363636363</v>
      </c>
    </row>
    <row r="288" spans="1:7" ht="25.5" x14ac:dyDescent="0.25">
      <c r="A288" s="8" t="s">
        <v>539</v>
      </c>
      <c r="B288" s="9" t="s">
        <v>540</v>
      </c>
      <c r="C288" s="9" t="s">
        <v>541</v>
      </c>
      <c r="D288" s="38">
        <f t="shared" si="20"/>
        <v>2.1818181818181817</v>
      </c>
      <c r="E288" s="10">
        <v>56</v>
      </c>
      <c r="F288" s="10">
        <v>2.4</v>
      </c>
      <c r="G288" s="41">
        <f t="shared" si="21"/>
        <v>122.18181818181817</v>
      </c>
    </row>
    <row r="289" spans="1:7" ht="25.5" x14ac:dyDescent="0.25">
      <c r="A289" s="8" t="s">
        <v>542</v>
      </c>
      <c r="B289" s="9" t="s">
        <v>543</v>
      </c>
      <c r="C289" s="9" t="s">
        <v>544</v>
      </c>
      <c r="D289" s="38">
        <f t="shared" si="20"/>
        <v>1.5</v>
      </c>
      <c r="E289" s="10">
        <v>189</v>
      </c>
      <c r="F289" s="10">
        <v>1.65</v>
      </c>
      <c r="G289" s="41">
        <f t="shared" si="21"/>
        <v>283.5</v>
      </c>
    </row>
    <row r="290" spans="1:7" ht="25.5" x14ac:dyDescent="0.25">
      <c r="A290" s="8" t="s">
        <v>545</v>
      </c>
      <c r="B290" s="9" t="s">
        <v>543</v>
      </c>
      <c r="C290" s="9" t="s">
        <v>546</v>
      </c>
      <c r="D290" s="38">
        <f t="shared" si="20"/>
        <v>2.2272727272727275</v>
      </c>
      <c r="E290" s="10">
        <v>7</v>
      </c>
      <c r="F290" s="10">
        <v>2.4500000000000002</v>
      </c>
      <c r="G290" s="41">
        <f t="shared" si="21"/>
        <v>15.590909090909093</v>
      </c>
    </row>
    <row r="291" spans="1:7" x14ac:dyDescent="0.25">
      <c r="A291" s="8" t="s">
        <v>547</v>
      </c>
      <c r="B291" s="9" t="s">
        <v>548</v>
      </c>
      <c r="C291" s="9" t="s">
        <v>549</v>
      </c>
      <c r="D291" s="38">
        <f t="shared" si="20"/>
        <v>26.954545454545453</v>
      </c>
      <c r="E291" s="10">
        <v>2</v>
      </c>
      <c r="F291" s="10">
        <v>29.65</v>
      </c>
      <c r="G291" s="41">
        <f t="shared" si="21"/>
        <v>53.909090909090907</v>
      </c>
    </row>
    <row r="292" spans="1:7" x14ac:dyDescent="0.25">
      <c r="A292" s="8" t="s">
        <v>550</v>
      </c>
      <c r="B292" s="9" t="s">
        <v>548</v>
      </c>
      <c r="C292" s="9" t="s">
        <v>551</v>
      </c>
      <c r="D292" s="38">
        <f t="shared" si="20"/>
        <v>6.7272727272727275</v>
      </c>
      <c r="E292" s="10">
        <v>4</v>
      </c>
      <c r="F292" s="10">
        <v>7.4</v>
      </c>
      <c r="G292" s="41">
        <f t="shared" si="21"/>
        <v>26.90909090909091</v>
      </c>
    </row>
    <row r="293" spans="1:7" x14ac:dyDescent="0.25">
      <c r="A293" s="8" t="s">
        <v>552</v>
      </c>
      <c r="B293" s="9" t="s">
        <v>553</v>
      </c>
      <c r="C293" s="9" t="s">
        <v>554</v>
      </c>
      <c r="D293" s="38">
        <f t="shared" si="20"/>
        <v>215.99999999999997</v>
      </c>
      <c r="E293" s="10">
        <v>0</v>
      </c>
      <c r="F293" s="10">
        <v>237.6</v>
      </c>
      <c r="G293" s="41">
        <f t="shared" si="21"/>
        <v>0</v>
      </c>
    </row>
    <row r="294" spans="1:7" ht="25.5" x14ac:dyDescent="0.25">
      <c r="A294" s="8" t="s">
        <v>555</v>
      </c>
      <c r="B294" s="9" t="s">
        <v>556</v>
      </c>
      <c r="C294" s="9" t="s">
        <v>557</v>
      </c>
      <c r="D294" s="38">
        <f t="shared" si="20"/>
        <v>120.54545454545455</v>
      </c>
      <c r="E294" s="10">
        <v>2</v>
      </c>
      <c r="F294" s="10">
        <v>132.6</v>
      </c>
      <c r="G294" s="41">
        <f t="shared" si="21"/>
        <v>241.09090909090909</v>
      </c>
    </row>
    <row r="295" spans="1:7" ht="15.75" thickBot="1" x14ac:dyDescent="0.3">
      <c r="A295" s="31" t="s">
        <v>558</v>
      </c>
      <c r="B295" s="32" t="s">
        <v>559</v>
      </c>
      <c r="C295" s="32" t="s">
        <v>560</v>
      </c>
      <c r="D295" s="50">
        <f t="shared" si="20"/>
        <v>3.5909090909090913</v>
      </c>
      <c r="E295" s="33">
        <v>10</v>
      </c>
      <c r="F295" s="33">
        <v>3.95</v>
      </c>
      <c r="G295" s="54">
        <f t="shared" si="21"/>
        <v>35.909090909090914</v>
      </c>
    </row>
    <row r="296" spans="1:7" ht="15.75" thickTop="1" x14ac:dyDescent="0.25">
      <c r="A296" s="14" t="s">
        <v>585</v>
      </c>
      <c r="B296" s="15" t="s">
        <v>652</v>
      </c>
      <c r="C296" s="15" t="s">
        <v>79</v>
      </c>
      <c r="D296" s="45">
        <f t="shared" ref="D296:D325" si="22">F296/11*10</f>
        <v>26</v>
      </c>
      <c r="E296" s="16">
        <v>7</v>
      </c>
      <c r="F296" s="16">
        <v>28.6</v>
      </c>
      <c r="G296" s="43">
        <f t="shared" ref="G296:G325" si="23">D296*E296</f>
        <v>182</v>
      </c>
    </row>
    <row r="297" spans="1:7" x14ac:dyDescent="0.25">
      <c r="A297" s="8" t="s">
        <v>586</v>
      </c>
      <c r="B297" s="9" t="s">
        <v>587</v>
      </c>
      <c r="C297" s="9" t="s">
        <v>12</v>
      </c>
      <c r="D297" s="38">
        <f t="shared" si="22"/>
        <v>43</v>
      </c>
      <c r="E297" s="10">
        <v>2</v>
      </c>
      <c r="F297" s="10">
        <v>47.3</v>
      </c>
      <c r="G297" s="41">
        <f t="shared" si="23"/>
        <v>86</v>
      </c>
    </row>
    <row r="298" spans="1:7" x14ac:dyDescent="0.25">
      <c r="A298" s="8" t="s">
        <v>588</v>
      </c>
      <c r="B298" s="9" t="s">
        <v>589</v>
      </c>
      <c r="C298" s="9" t="s">
        <v>79</v>
      </c>
      <c r="D298" s="38">
        <f t="shared" si="22"/>
        <v>4.8181818181818183</v>
      </c>
      <c r="E298" s="10">
        <v>10</v>
      </c>
      <c r="F298" s="10">
        <v>5.3</v>
      </c>
      <c r="G298" s="41">
        <f t="shared" si="23"/>
        <v>48.181818181818187</v>
      </c>
    </row>
    <row r="299" spans="1:7" ht="27" x14ac:dyDescent="0.25">
      <c r="A299" s="8" t="s">
        <v>590</v>
      </c>
      <c r="B299" s="9" t="s">
        <v>653</v>
      </c>
      <c r="C299" s="9" t="s">
        <v>12</v>
      </c>
      <c r="D299" s="38">
        <f t="shared" si="22"/>
        <v>122.72727272727273</v>
      </c>
      <c r="E299" s="10">
        <v>0</v>
      </c>
      <c r="F299" s="10">
        <v>135</v>
      </c>
      <c r="G299" s="60">
        <f t="shared" si="23"/>
        <v>0</v>
      </c>
    </row>
    <row r="300" spans="1:7" x14ac:dyDescent="0.25">
      <c r="A300" s="8" t="s">
        <v>591</v>
      </c>
      <c r="B300" s="9" t="s">
        <v>592</v>
      </c>
      <c r="C300" s="9" t="s">
        <v>593</v>
      </c>
      <c r="D300" s="38">
        <f t="shared" si="22"/>
        <v>17</v>
      </c>
      <c r="E300" s="10">
        <v>2</v>
      </c>
      <c r="F300" s="10">
        <v>18.7</v>
      </c>
      <c r="G300" s="41">
        <f t="shared" si="23"/>
        <v>34</v>
      </c>
    </row>
    <row r="301" spans="1:7" x14ac:dyDescent="0.25">
      <c r="A301" s="8" t="s">
        <v>594</v>
      </c>
      <c r="B301" s="9" t="s">
        <v>595</v>
      </c>
      <c r="C301" s="9" t="s">
        <v>593</v>
      </c>
      <c r="D301" s="38">
        <f t="shared" si="22"/>
        <v>17</v>
      </c>
      <c r="E301" s="10">
        <v>6</v>
      </c>
      <c r="F301" s="10">
        <v>18.7</v>
      </c>
      <c r="G301" s="41">
        <f t="shared" si="23"/>
        <v>102</v>
      </c>
    </row>
    <row r="302" spans="1:7" x14ac:dyDescent="0.25">
      <c r="A302" s="8" t="s">
        <v>596</v>
      </c>
      <c r="B302" s="9" t="s">
        <v>597</v>
      </c>
      <c r="C302" s="9" t="s">
        <v>593</v>
      </c>
      <c r="D302" s="38">
        <f t="shared" si="22"/>
        <v>17</v>
      </c>
      <c r="E302" s="10">
        <v>6</v>
      </c>
      <c r="F302" s="10">
        <v>18.7</v>
      </c>
      <c r="G302" s="41">
        <f t="shared" si="23"/>
        <v>102</v>
      </c>
    </row>
    <row r="303" spans="1:7" x14ac:dyDescent="0.25">
      <c r="A303" s="8" t="s">
        <v>598</v>
      </c>
      <c r="B303" s="9" t="s">
        <v>599</v>
      </c>
      <c r="C303" s="9" t="s">
        <v>593</v>
      </c>
      <c r="D303" s="38">
        <f t="shared" si="22"/>
        <v>17</v>
      </c>
      <c r="E303" s="10">
        <v>5</v>
      </c>
      <c r="F303" s="10">
        <v>18.7</v>
      </c>
      <c r="G303" s="41">
        <f t="shared" si="23"/>
        <v>85</v>
      </c>
    </row>
    <row r="304" spans="1:7" x14ac:dyDescent="0.25">
      <c r="A304" s="8" t="s">
        <v>600</v>
      </c>
      <c r="B304" s="9" t="s">
        <v>601</v>
      </c>
      <c r="C304" s="9" t="s">
        <v>593</v>
      </c>
      <c r="D304" s="38">
        <f t="shared" si="22"/>
        <v>17</v>
      </c>
      <c r="E304" s="10">
        <v>110</v>
      </c>
      <c r="F304" s="10">
        <v>18.7</v>
      </c>
      <c r="G304" s="41">
        <f t="shared" si="23"/>
        <v>1870</v>
      </c>
    </row>
    <row r="305" spans="1:7" x14ac:dyDescent="0.25">
      <c r="A305" s="8" t="s">
        <v>602</v>
      </c>
      <c r="B305" s="9" t="s">
        <v>603</v>
      </c>
      <c r="C305" s="9" t="s">
        <v>604</v>
      </c>
      <c r="D305" s="38">
        <f t="shared" si="22"/>
        <v>30</v>
      </c>
      <c r="E305" s="10">
        <v>59</v>
      </c>
      <c r="F305" s="10">
        <v>33</v>
      </c>
      <c r="G305" s="60">
        <f t="shared" si="23"/>
        <v>1770</v>
      </c>
    </row>
    <row r="306" spans="1:7" x14ac:dyDescent="0.25">
      <c r="A306" s="8" t="s">
        <v>605</v>
      </c>
      <c r="B306" s="9" t="s">
        <v>606</v>
      </c>
      <c r="C306" s="9" t="s">
        <v>604</v>
      </c>
      <c r="D306" s="38">
        <f t="shared" si="22"/>
        <v>25.272727272727273</v>
      </c>
      <c r="E306" s="10">
        <v>5</v>
      </c>
      <c r="F306" s="10">
        <v>27.8</v>
      </c>
      <c r="G306" s="60">
        <f t="shared" si="23"/>
        <v>126.36363636363637</v>
      </c>
    </row>
    <row r="307" spans="1:7" x14ac:dyDescent="0.25">
      <c r="A307" s="8" t="s">
        <v>607</v>
      </c>
      <c r="B307" s="9" t="s">
        <v>608</v>
      </c>
      <c r="C307" s="9" t="s">
        <v>604</v>
      </c>
      <c r="D307" s="38">
        <f t="shared" si="22"/>
        <v>28.363636363636363</v>
      </c>
      <c r="E307" s="10">
        <v>2</v>
      </c>
      <c r="F307" s="10">
        <v>31.2</v>
      </c>
      <c r="G307" s="41">
        <f t="shared" si="23"/>
        <v>56.727272727272727</v>
      </c>
    </row>
    <row r="308" spans="1:7" x14ac:dyDescent="0.25">
      <c r="A308" s="8" t="s">
        <v>609</v>
      </c>
      <c r="B308" s="9" t="s">
        <v>610</v>
      </c>
      <c r="C308" s="9" t="s">
        <v>611</v>
      </c>
      <c r="D308" s="38">
        <f t="shared" si="22"/>
        <v>43.999999999999993</v>
      </c>
      <c r="E308" s="10">
        <v>0</v>
      </c>
      <c r="F308" s="10">
        <v>48.4</v>
      </c>
      <c r="G308" s="41">
        <f t="shared" si="23"/>
        <v>0</v>
      </c>
    </row>
    <row r="309" spans="1:7" x14ac:dyDescent="0.25">
      <c r="A309" s="8" t="s">
        <v>612</v>
      </c>
      <c r="B309" s="9" t="s">
        <v>613</v>
      </c>
      <c r="C309" s="9" t="s">
        <v>614</v>
      </c>
      <c r="D309" s="38">
        <f t="shared" si="22"/>
        <v>11.90909090909091</v>
      </c>
      <c r="E309" s="10">
        <v>0</v>
      </c>
      <c r="F309" s="10">
        <v>13.1</v>
      </c>
      <c r="G309" s="41">
        <f t="shared" si="23"/>
        <v>0</v>
      </c>
    </row>
    <row r="310" spans="1:7" x14ac:dyDescent="0.25">
      <c r="A310" s="8" t="s">
        <v>615</v>
      </c>
      <c r="B310" s="9" t="s">
        <v>616</v>
      </c>
      <c r="C310" s="9" t="s">
        <v>617</v>
      </c>
      <c r="D310" s="38">
        <f t="shared" si="22"/>
        <v>10</v>
      </c>
      <c r="E310" s="10">
        <v>1</v>
      </c>
      <c r="F310" s="10">
        <v>11</v>
      </c>
      <c r="G310" s="41">
        <f t="shared" si="23"/>
        <v>10</v>
      </c>
    </row>
    <row r="311" spans="1:7" ht="25.5" x14ac:dyDescent="0.25">
      <c r="A311" s="8" t="s">
        <v>618</v>
      </c>
      <c r="B311" s="9" t="s">
        <v>654</v>
      </c>
      <c r="C311" s="9" t="s">
        <v>619</v>
      </c>
      <c r="D311" s="38">
        <f t="shared" si="22"/>
        <v>12.818181818181817</v>
      </c>
      <c r="E311" s="10">
        <v>20</v>
      </c>
      <c r="F311" s="10">
        <v>14.1</v>
      </c>
      <c r="G311" s="41">
        <f t="shared" si="23"/>
        <v>256.36363636363632</v>
      </c>
    </row>
    <row r="312" spans="1:7" x14ac:dyDescent="0.25">
      <c r="A312" s="8" t="s">
        <v>620</v>
      </c>
      <c r="B312" s="9" t="s">
        <v>621</v>
      </c>
      <c r="C312" s="9" t="s">
        <v>12</v>
      </c>
      <c r="D312" s="38">
        <f t="shared" si="22"/>
        <v>298.63636363636363</v>
      </c>
      <c r="E312" s="10">
        <v>0</v>
      </c>
      <c r="F312" s="10">
        <v>328.5</v>
      </c>
      <c r="G312" s="41">
        <f t="shared" si="23"/>
        <v>0</v>
      </c>
    </row>
    <row r="313" spans="1:7" x14ac:dyDescent="0.25">
      <c r="A313" s="8" t="s">
        <v>622</v>
      </c>
      <c r="B313" s="9" t="s">
        <v>623</v>
      </c>
      <c r="C313" s="9" t="s">
        <v>12</v>
      </c>
      <c r="D313" s="38">
        <f t="shared" si="22"/>
        <v>19.545454545454547</v>
      </c>
      <c r="E313" s="10">
        <v>5</v>
      </c>
      <c r="F313" s="10">
        <v>21.5</v>
      </c>
      <c r="G313" s="41">
        <f t="shared" si="23"/>
        <v>97.727272727272734</v>
      </c>
    </row>
    <row r="314" spans="1:7" x14ac:dyDescent="0.25">
      <c r="A314" s="8" t="s">
        <v>624</v>
      </c>
      <c r="B314" s="9" t="s">
        <v>625</v>
      </c>
      <c r="C314" s="9" t="s">
        <v>626</v>
      </c>
      <c r="D314" s="38">
        <f t="shared" si="22"/>
        <v>14.000000000000002</v>
      </c>
      <c r="E314" s="10">
        <v>14</v>
      </c>
      <c r="F314" s="10">
        <v>15.4</v>
      </c>
      <c r="G314" s="41">
        <f t="shared" si="23"/>
        <v>196.00000000000003</v>
      </c>
    </row>
    <row r="315" spans="1:7" x14ac:dyDescent="0.25">
      <c r="A315" s="8" t="s">
        <v>627</v>
      </c>
      <c r="B315" s="9" t="s">
        <v>628</v>
      </c>
      <c r="C315" s="9" t="s">
        <v>12</v>
      </c>
      <c r="D315" s="38">
        <f t="shared" si="22"/>
        <v>1.3636363636363635</v>
      </c>
      <c r="E315" s="10">
        <v>150</v>
      </c>
      <c r="F315" s="10">
        <v>1.5</v>
      </c>
      <c r="G315" s="41">
        <f t="shared" si="23"/>
        <v>204.54545454545453</v>
      </c>
    </row>
    <row r="316" spans="1:7" ht="26.25" x14ac:dyDescent="0.25">
      <c r="A316" s="8" t="s">
        <v>629</v>
      </c>
      <c r="B316" s="9" t="s">
        <v>655</v>
      </c>
      <c r="C316" s="9" t="s">
        <v>12</v>
      </c>
      <c r="D316" s="38">
        <f t="shared" si="22"/>
        <v>10</v>
      </c>
      <c r="E316" s="10">
        <v>5</v>
      </c>
      <c r="F316" s="10">
        <v>11</v>
      </c>
      <c r="G316" s="41">
        <f t="shared" si="23"/>
        <v>50</v>
      </c>
    </row>
    <row r="317" spans="1:7" x14ac:dyDescent="0.25">
      <c r="A317" s="8" t="s">
        <v>630</v>
      </c>
      <c r="B317" s="9" t="s">
        <v>631</v>
      </c>
      <c r="C317" s="9" t="s">
        <v>12</v>
      </c>
      <c r="D317" s="38">
        <f t="shared" si="22"/>
        <v>18.045454545454547</v>
      </c>
      <c r="E317" s="10">
        <v>6</v>
      </c>
      <c r="F317" s="10">
        <v>19.850000000000001</v>
      </c>
      <c r="G317" s="41">
        <f t="shared" si="23"/>
        <v>108.27272727272728</v>
      </c>
    </row>
    <row r="318" spans="1:7" ht="25.5" x14ac:dyDescent="0.25">
      <c r="A318" s="8" t="s">
        <v>632</v>
      </c>
      <c r="B318" s="9" t="s">
        <v>633</v>
      </c>
      <c r="C318" s="9" t="s">
        <v>634</v>
      </c>
      <c r="D318" s="38">
        <f t="shared" si="22"/>
        <v>26.22727272727273</v>
      </c>
      <c r="E318" s="10">
        <v>10</v>
      </c>
      <c r="F318" s="10">
        <v>28.85</v>
      </c>
      <c r="G318" s="41">
        <f t="shared" si="23"/>
        <v>262.27272727272731</v>
      </c>
    </row>
    <row r="319" spans="1:7" x14ac:dyDescent="0.25">
      <c r="A319" s="8" t="s">
        <v>635</v>
      </c>
      <c r="B319" s="9" t="s">
        <v>636</v>
      </c>
      <c r="C319" s="9" t="s">
        <v>12</v>
      </c>
      <c r="D319" s="38">
        <f t="shared" si="22"/>
        <v>31.818181818181817</v>
      </c>
      <c r="E319" s="10">
        <v>2</v>
      </c>
      <c r="F319" s="10">
        <v>35</v>
      </c>
      <c r="G319" s="41">
        <f t="shared" si="23"/>
        <v>63.636363636363633</v>
      </c>
    </row>
    <row r="320" spans="1:7" x14ac:dyDescent="0.25">
      <c r="A320" s="8" t="s">
        <v>637</v>
      </c>
      <c r="B320" s="9" t="s">
        <v>638</v>
      </c>
      <c r="C320" s="9" t="s">
        <v>12</v>
      </c>
      <c r="D320" s="38">
        <f t="shared" si="22"/>
        <v>54.227272727272727</v>
      </c>
      <c r="E320" s="10">
        <v>11</v>
      </c>
      <c r="F320" s="10">
        <v>59.65</v>
      </c>
      <c r="G320" s="41">
        <f t="shared" si="23"/>
        <v>596.5</v>
      </c>
    </row>
    <row r="321" spans="1:7" x14ac:dyDescent="0.25">
      <c r="A321" s="8" t="s">
        <v>639</v>
      </c>
      <c r="B321" s="9" t="s">
        <v>640</v>
      </c>
      <c r="C321" s="9" t="s">
        <v>12</v>
      </c>
      <c r="D321" s="38">
        <f t="shared" si="22"/>
        <v>13.181818181818182</v>
      </c>
      <c r="E321" s="10">
        <v>5</v>
      </c>
      <c r="F321" s="10">
        <v>14.5</v>
      </c>
      <c r="G321" s="41">
        <f t="shared" si="23"/>
        <v>65.909090909090907</v>
      </c>
    </row>
    <row r="322" spans="1:7" x14ac:dyDescent="0.25">
      <c r="A322" s="8" t="s">
        <v>641</v>
      </c>
      <c r="B322" s="9" t="s">
        <v>642</v>
      </c>
      <c r="C322" s="9" t="s">
        <v>643</v>
      </c>
      <c r="D322" s="38">
        <f t="shared" si="22"/>
        <v>184.00000000000003</v>
      </c>
      <c r="E322" s="10">
        <v>0</v>
      </c>
      <c r="F322" s="10">
        <v>202.4</v>
      </c>
      <c r="G322" s="41">
        <f t="shared" si="23"/>
        <v>0</v>
      </c>
    </row>
    <row r="323" spans="1:7" x14ac:dyDescent="0.25">
      <c r="A323" s="8" t="s">
        <v>644</v>
      </c>
      <c r="B323" s="9" t="s">
        <v>645</v>
      </c>
      <c r="C323" s="9" t="s">
        <v>646</v>
      </c>
      <c r="D323" s="38">
        <f t="shared" si="22"/>
        <v>62</v>
      </c>
      <c r="E323" s="10">
        <v>0</v>
      </c>
      <c r="F323" s="10">
        <v>68.2</v>
      </c>
      <c r="G323" s="41">
        <f t="shared" si="23"/>
        <v>0</v>
      </c>
    </row>
    <row r="324" spans="1:7" x14ac:dyDescent="0.25">
      <c r="A324" s="8" t="s">
        <v>647</v>
      </c>
      <c r="B324" s="9" t="s">
        <v>648</v>
      </c>
      <c r="C324" s="9" t="s">
        <v>12</v>
      </c>
      <c r="D324" s="38">
        <f t="shared" si="22"/>
        <v>74.545454545454547</v>
      </c>
      <c r="E324" s="10">
        <v>6</v>
      </c>
      <c r="F324" s="10">
        <v>82</v>
      </c>
      <c r="G324" s="41">
        <f t="shared" si="23"/>
        <v>447.27272727272725</v>
      </c>
    </row>
    <row r="325" spans="1:7" x14ac:dyDescent="0.25">
      <c r="A325" s="8" t="s">
        <v>649</v>
      </c>
      <c r="B325" s="9" t="s">
        <v>656</v>
      </c>
      <c r="C325" s="9" t="s">
        <v>12</v>
      </c>
      <c r="D325" s="38">
        <f t="shared" si="22"/>
        <v>27.27272727272727</v>
      </c>
      <c r="E325" s="10">
        <v>74</v>
      </c>
      <c r="F325" s="10">
        <v>30</v>
      </c>
      <c r="G325" s="41">
        <f t="shared" si="23"/>
        <v>2018.181818181818</v>
      </c>
    </row>
    <row r="326" spans="1:7" x14ac:dyDescent="0.25">
      <c r="A326" s="8" t="s">
        <v>650</v>
      </c>
      <c r="B326" s="9" t="s">
        <v>657</v>
      </c>
      <c r="C326" s="9" t="s">
        <v>12</v>
      </c>
      <c r="D326" s="38">
        <f t="shared" ref="D326:D327" si="24">F326/11*10</f>
        <v>7.0000000000000009</v>
      </c>
      <c r="E326" s="10">
        <v>0</v>
      </c>
      <c r="F326" s="10">
        <v>7.7</v>
      </c>
      <c r="G326" s="41">
        <f t="shared" ref="G326:G327" si="25">D326*E326</f>
        <v>0</v>
      </c>
    </row>
    <row r="327" spans="1:7" ht="15.75" thickBot="1" x14ac:dyDescent="0.3">
      <c r="A327" s="31" t="s">
        <v>651</v>
      </c>
      <c r="B327" s="32" t="s">
        <v>658</v>
      </c>
      <c r="C327" s="32" t="s">
        <v>12</v>
      </c>
      <c r="D327" s="50">
        <f t="shared" si="24"/>
        <v>35.545454545454547</v>
      </c>
      <c r="E327" s="33">
        <v>0</v>
      </c>
      <c r="F327" s="33">
        <v>39.1</v>
      </c>
      <c r="G327" s="54">
        <f t="shared" si="25"/>
        <v>0</v>
      </c>
    </row>
    <row r="328" spans="1:7" x14ac:dyDescent="0.25">
      <c r="G328" s="61">
        <f>SUM(G4:G327)</f>
        <v>70981.847272727246</v>
      </c>
    </row>
  </sheetData>
  <mergeCells count="12">
    <mergeCell ref="A243:A244"/>
    <mergeCell ref="A251:A252"/>
    <mergeCell ref="B251:B252"/>
    <mergeCell ref="G1:G2"/>
    <mergeCell ref="E1:E2"/>
    <mergeCell ref="A1:A2"/>
    <mergeCell ref="B1:B2"/>
    <mergeCell ref="C1:C2"/>
    <mergeCell ref="F1:F2"/>
    <mergeCell ref="D1:D2"/>
    <mergeCell ref="A241:A242"/>
    <mergeCell ref="B241:B24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21</vt:i4>
      </vt:variant>
    </vt:vector>
  </HeadingPairs>
  <TitlesOfParts>
    <vt:vector size="22" baseType="lpstr">
      <vt:lpstr>Tabelle1</vt:lpstr>
      <vt:lpstr>Tabelle1!_Hlk67042707</vt:lpstr>
      <vt:lpstr>Tabelle1!_Hlk67042721</vt:lpstr>
      <vt:lpstr>Tabelle1!_Toc38891880</vt:lpstr>
      <vt:lpstr>Tabelle1!_Toc38891881</vt:lpstr>
      <vt:lpstr>Tabelle1!_Toc38891882</vt:lpstr>
      <vt:lpstr>Tabelle1!_Toc38891884</vt:lpstr>
      <vt:lpstr>Tabelle1!_Toc38891885</vt:lpstr>
      <vt:lpstr>Tabelle1!_Toc38891886</vt:lpstr>
      <vt:lpstr>Tabelle1!_Toc38891887</vt:lpstr>
      <vt:lpstr>Tabelle1!_Toc38891888</vt:lpstr>
      <vt:lpstr>Tabelle1!_Toc38891890</vt:lpstr>
      <vt:lpstr>Tabelle1!_Toc38891891</vt:lpstr>
      <vt:lpstr>Tabelle1!_Toc38891892</vt:lpstr>
      <vt:lpstr>Tabelle1!_Toc38891893</vt:lpstr>
      <vt:lpstr>Tabelle1!_Toc38891895</vt:lpstr>
      <vt:lpstr>Tabelle1!_Toc38891896</vt:lpstr>
      <vt:lpstr>Tabelle1!_Toc38891897</vt:lpstr>
      <vt:lpstr>Tabelle1!_Toc38891899</vt:lpstr>
      <vt:lpstr>Tabelle1!_Toc38891900</vt:lpstr>
      <vt:lpstr>Tabelle1!_Toc38891901</vt:lpstr>
      <vt:lpstr>Tabelle1!_Toc38891903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Born Daniel</dc:creator>
  <cp:lastModifiedBy>Scheurer, René</cp:lastModifiedBy>
  <cp:lastPrinted>2025-12-16T10:15:38Z</cp:lastPrinted>
  <dcterms:created xsi:type="dcterms:W3CDTF">2022-08-26T14:00:02Z</dcterms:created>
  <dcterms:modified xsi:type="dcterms:W3CDTF">2025-12-23T13:11:28Z</dcterms:modified>
</cp:coreProperties>
</file>